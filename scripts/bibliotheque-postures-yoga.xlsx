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d'emploi" sheetId="1" state="visible" r:id="rId3"/>
    <sheet name="Postures" sheetId="2" state="visible" r:id="rId4"/>
    <sheet name="Structure cours" sheetId="3" state="visible" r:id="rId5"/>
    <sheet name="Synthèse" sheetId="4" state="visible" r:id="rId6"/>
    <sheet name="Listes" sheetId="5" state="visible" r:id="rId7"/>
  </sheets>
  <definedNames>
    <definedName function="false" hidden="true" localSheetId="1" name="_xlnm._FilterDatabase" vbProcedure="false">Postures!$A$1:$AD$204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<sst xmlns="http://schemas.openxmlformats.org/spreadsheetml/2006/main" count="3041" uniqueCount="1187">
  <si>
    <t xml:space="preserve">Bibliothèque de postures — mode d'emploi</t>
  </si>
  <si>
    <t xml:space="preserve">Onglet « Postures » : 203 postures, respirations et exercices, une ligne chacun. Toutes les cellules sont modifiables ; ajoute les tiens à la suite.</t>
  </si>
  <si>
    <t xml:space="preserve">  • Famille, Niveau, Phase et Côtés : listes déroulantes (valeurs dans l'onglet « Listes »).</t>
  </si>
  <si>
    <t xml:space="preserve">  • 14 colonnes de styles (en vert) : « x » = posture adaptée à ce style. Utilise les filtres pour n'afficher qu'un style.</t>
  </si>
  <si>
    <t xml:space="preserve">  • Tenue en respirations pour les styles dynamiques ; tenue lente en minutes pour le yin et le restauratif.</t>
  </si>
  <si>
    <t xml:space="preserve">  • Zones sollicitées : ce que la posture ouvre ou renforce (liste dans l'onglet « Listes ») — sert à trouver les postures qui préparent une posture cible.</t>
  </si>
  <si>
    <t xml:space="preserve">  • Préparations / Contre-postures : noms français d'autres postures du tableau, séparés par « ; », du plus général au plus proche.</t>
  </si>
  <si>
    <t xml:space="preserve">  • Précautions : repères généraux, non exhaustifs — à relire et compléter avec ton expérience.</t>
  </si>
  <si>
    <t xml:space="preserve">Attribution des styles : c'est une proposition de départ. Pour De Gasquet, prénatal et postnatal, le « x » signale une posture compatible avec les principes de la méthode (auto-grandissement, expiration active, protection du périnée) ; à valider selon ta formation.</t>
  </si>
  <si>
    <t xml:space="preserve">Onglet « Structure cours » : part du temps de chaque phase pour les 14 styles. Change la durée (case jaune) pour voir les minutes ; ajuste les % (le total doit faire 100 %).</t>
  </si>
  <si>
    <t xml:space="preserve">Onglet « Synthèse » : nombre de postures par famille, par style et par niveau, pour repérer les manques.</t>
  </si>
  <si>
    <t xml:space="preserve">Légende : fond jaune = case à saisir ; texte bleu = valeur modifiable.</t>
  </si>
  <si>
    <t xml:space="preserve">ID</t>
  </si>
  <si>
    <t xml:space="preserve">Nom sanskrit</t>
  </si>
  <si>
    <t xml:space="preserve">Nom français</t>
  </si>
  <si>
    <t xml:space="preserve">Nom anglais</t>
  </si>
  <si>
    <t xml:space="preserve">Famille</t>
  </si>
  <si>
    <t xml:space="preserve">Niveau (1-3)</t>
  </si>
  <si>
    <t xml:space="preserve">Hatha</t>
  </si>
  <si>
    <t xml:space="preserve">Vinyasa</t>
  </si>
  <si>
    <t xml:space="preserve">Ashtanga</t>
  </si>
  <si>
    <t xml:space="preserve">Iyengar</t>
  </si>
  <si>
    <t xml:space="preserve">Sivananda</t>
  </si>
  <si>
    <t xml:space="preserve">Yin</t>
  </si>
  <si>
    <t xml:space="preserve">Restauratif</t>
  </si>
  <si>
    <t xml:space="preserve">Kundalini</t>
  </si>
  <si>
    <t xml:space="preserve">De Gasquet</t>
  </si>
  <si>
    <t xml:space="preserve">Prénatal</t>
  </si>
  <si>
    <t xml:space="preserve">Postnatal</t>
  </si>
  <si>
    <t xml:space="preserve">Doux / seniors / chaise</t>
  </si>
  <si>
    <t xml:space="preserve">Yoga du dos</t>
  </si>
  <si>
    <t xml:space="preserve">Power yoga</t>
  </si>
  <si>
    <t xml:space="preserve">Phase du cours</t>
  </si>
  <si>
    <t xml:space="preserve">Tenue (respirations)</t>
  </si>
  <si>
    <t xml:space="preserve">Tenue lente (min) yin / restauratif</t>
  </si>
  <si>
    <t xml:space="preserve">Côtés</t>
  </si>
  <si>
    <t xml:space="preserve">Accessoires</t>
  </si>
  <si>
    <t xml:space="preserve">Zones sollicitées</t>
  </si>
  <si>
    <t xml:space="preserve">Préparations</t>
  </si>
  <si>
    <t xml:space="preserve">Contre-postures</t>
  </si>
  <si>
    <t xml:space="preserve">Précautions / variantes</t>
  </si>
  <si>
    <t xml:space="preserve">Notes perso</t>
  </si>
  <si>
    <t xml:space="preserve">P001</t>
  </si>
  <si>
    <t xml:space="preserve">Nadi Shodhana / Anuloma Viloma</t>
  </si>
  <si>
    <t xml:space="preserve">Respiration alternée</t>
  </si>
  <si>
    <t xml:space="preserve">Alternate nostril breathing</t>
  </si>
  <si>
    <t xml:space="preserve">Respiration</t>
  </si>
  <si>
    <t xml:space="preserve">x</t>
  </si>
  <si>
    <t xml:space="preserve">Centrage</t>
  </si>
  <si>
    <t xml:space="preserve">Non</t>
  </si>
  <si>
    <t xml:space="preserve">Sans rétention en cas d'hypertension ou de grossesse</t>
  </si>
  <si>
    <t xml:space="preserve">P002</t>
  </si>
  <si>
    <t xml:space="preserve">Ujjayi</t>
  </si>
  <si>
    <t xml:space="preserve">Respiration victorieuse</t>
  </si>
  <si>
    <t xml:space="preserve">Victorious breath</t>
  </si>
  <si>
    <t xml:space="preserve">P003</t>
  </si>
  <si>
    <t xml:space="preserve">Kapalabhati</t>
  </si>
  <si>
    <t xml:space="preserve">Purification du crâne</t>
  </si>
  <si>
    <t xml:space="preserve">Skull shining breath</t>
  </si>
  <si>
    <t xml:space="preserve">Contre-indiqué : grossesse, post-partum récent, règles, hypertension, épilepsie</t>
  </si>
  <si>
    <t xml:space="preserve">P004</t>
  </si>
  <si>
    <t xml:space="preserve">Bhastrika</t>
  </si>
  <si>
    <t xml:space="preserve">Respiration du soufflet</t>
  </si>
  <si>
    <t xml:space="preserve">Bellows breath</t>
  </si>
  <si>
    <t xml:space="preserve">Mêmes précautions que Kapalabhati</t>
  </si>
  <si>
    <t xml:space="preserve">P005</t>
  </si>
  <si>
    <t xml:space="preserve">Bhramari</t>
  </si>
  <si>
    <t xml:space="preserve">Respiration de l'abeille</t>
  </si>
  <si>
    <t xml:space="preserve">Humming bee breath</t>
  </si>
  <si>
    <t xml:space="preserve">P006</t>
  </si>
  <si>
    <t xml:space="preserve">Sitali / Sitkari</t>
  </si>
  <si>
    <t xml:space="preserve">Respiration rafraîchissante</t>
  </si>
  <si>
    <t xml:space="preserve">Cooling breath</t>
  </si>
  <si>
    <t xml:space="preserve">P007</t>
  </si>
  <si>
    <t xml:space="preserve">Viloma</t>
  </si>
  <si>
    <t xml:space="preserve">Respiration par paliers</t>
  </si>
  <si>
    <t xml:space="preserve">Interrupted breath</t>
  </si>
  <si>
    <t xml:space="preserve">P008</t>
  </si>
  <si>
    <t xml:space="preserve">Sama Vritti</t>
  </si>
  <si>
    <t xml:space="preserve">Respiration carrée</t>
  </si>
  <si>
    <t xml:space="preserve">Box breathing</t>
  </si>
  <si>
    <t xml:space="preserve">Sans rétention si grossesse ou hypertension</t>
  </si>
  <si>
    <t xml:space="preserve">P009</t>
  </si>
  <si>
    <t xml:space="preserve">—</t>
  </si>
  <si>
    <t xml:space="preserve">Respiration complète (yogique)</t>
  </si>
  <si>
    <t xml:space="preserve">Three-part breath</t>
  </si>
  <si>
    <t xml:space="preserve">P010</t>
  </si>
  <si>
    <t xml:space="preserve">Respiration abdominale</t>
  </si>
  <si>
    <t xml:space="preserve">Belly breathing</t>
  </si>
  <si>
    <t xml:space="preserve">P011</t>
  </si>
  <si>
    <t xml:space="preserve">Expiration active avec remontée du périnée</t>
  </si>
  <si>
    <t xml:space="preserve">Exhale-led pelvic floor breath</t>
  </si>
  <si>
    <t xml:space="preserve">Respiration, Périnée, Sangle abdominale</t>
  </si>
  <si>
    <t xml:space="preserve">Expirer en remontant le périnée, ne jamais pousser vers le bas</t>
  </si>
  <si>
    <t xml:space="preserve">P012</t>
  </si>
  <si>
    <t xml:space="preserve">Agni Pran</t>
  </si>
  <si>
    <t xml:space="preserve">Respiration de feu</t>
  </si>
  <si>
    <t xml:space="preserve">Breath of fire</t>
  </si>
  <si>
    <t xml:space="preserve">Contre-indiqué : grossesse, règles, hypertension</t>
  </si>
  <si>
    <t xml:space="preserve">P013</t>
  </si>
  <si>
    <t xml:space="preserve">Sukhasana</t>
  </si>
  <si>
    <t xml:space="preserve">Posture facile (tailleur)</t>
  </si>
  <si>
    <t xml:space="preserve">Easy pose</t>
  </si>
  <si>
    <t xml:space="preserve">Assise</t>
  </si>
  <si>
    <t xml:space="preserve">Coussin</t>
  </si>
  <si>
    <t xml:space="preserve">Hanches (rotation externe), Dos (mobilité)</t>
  </si>
  <si>
    <t xml:space="preserve">Genoux sensibles : réhausser le bassin</t>
  </si>
  <si>
    <t xml:space="preserve">P014</t>
  </si>
  <si>
    <t xml:space="preserve">Tailleur dos au mur, auto-grandissement</t>
  </si>
  <si>
    <t xml:space="preserve">Wall-supported easy pose</t>
  </si>
  <si>
    <t xml:space="preserve">Mur, coussin</t>
  </si>
  <si>
    <t xml:space="preserve">Dos (mobilité), Périnée</t>
  </si>
  <si>
    <t xml:space="preserve">Pousser le sommet du crâne vers le haut à l'expiration</t>
  </si>
  <si>
    <t xml:space="preserve">P015</t>
  </si>
  <si>
    <t xml:space="preserve">Siddhasana</t>
  </si>
  <si>
    <t xml:space="preserve">Posture parfaite</t>
  </si>
  <si>
    <t xml:space="preserve">Accomplished pose</t>
  </si>
  <si>
    <t xml:space="preserve">Hanches (rotation externe)</t>
  </si>
  <si>
    <t xml:space="preserve">Papillon (assis droit); Posture facile (tailleur)</t>
  </si>
  <si>
    <t xml:space="preserve">Genoux, chevilles</t>
  </si>
  <si>
    <t xml:space="preserve">P016</t>
  </si>
  <si>
    <t xml:space="preserve">Ardha Padmasana</t>
  </si>
  <si>
    <t xml:space="preserve">Demi-lotus</t>
  </si>
  <si>
    <t xml:space="preserve">Half lotus</t>
  </si>
  <si>
    <t xml:space="preserve">Oui</t>
  </si>
  <si>
    <t xml:space="preserve">Hanches (rotation externe), Chevilles / pieds</t>
  </si>
  <si>
    <t xml:space="preserve">Papillon (assis droit); Bûche (double pigeon)</t>
  </si>
  <si>
    <t xml:space="preserve">Genoux : ne jamais forcer</t>
  </si>
  <si>
    <t xml:space="preserve">P017</t>
  </si>
  <si>
    <t xml:space="preserve">Padmasana</t>
  </si>
  <si>
    <t xml:space="preserve">Lotus</t>
  </si>
  <si>
    <t xml:space="preserve">Papillon (assis droit); Pigeon allongé (chiffre 4); Demi-lotus</t>
  </si>
  <si>
    <t xml:space="preserve">Genoux : la rotation vient de la hanche, ne jamais forcer</t>
  </si>
  <si>
    <t xml:space="preserve">P018</t>
  </si>
  <si>
    <t xml:space="preserve">Vajrasana</t>
  </si>
  <si>
    <t xml:space="preserve">Diamant (assis sur les talons)</t>
  </si>
  <si>
    <t xml:space="preserve">Thunderbolt</t>
  </si>
  <si>
    <t xml:space="preserve">Quadriceps, Chevilles / pieds</t>
  </si>
  <si>
    <t xml:space="preserve">Genoux : coussin entre fesses et talons</t>
  </si>
  <si>
    <t xml:space="preserve">P019</t>
  </si>
  <si>
    <t xml:space="preserve">Virasana</t>
  </si>
  <si>
    <t xml:space="preserve">Héros</t>
  </si>
  <si>
    <t xml:space="preserve">Hero pose</t>
  </si>
  <si>
    <t xml:space="preserve">Brique</t>
  </si>
  <si>
    <t xml:space="preserve">Diamant (assis sur les talons); Fente basse</t>
  </si>
  <si>
    <t xml:space="preserve">Genoux</t>
  </si>
  <si>
    <t xml:space="preserve">P020</t>
  </si>
  <si>
    <t xml:space="preserve">Dandasana</t>
  </si>
  <si>
    <t xml:space="preserve">Bâton</t>
  </si>
  <si>
    <t xml:space="preserve">Staff pose</t>
  </si>
  <si>
    <t xml:space="preserve">Sol</t>
  </si>
  <si>
    <t xml:space="preserve">Couverture sous les fesses</t>
  </si>
  <si>
    <t xml:space="preserve">Ischio-jambiers, Sangle abdominale</t>
  </si>
  <si>
    <t xml:space="preserve">P021</t>
  </si>
  <si>
    <t xml:space="preserve">Assise sur chaise</t>
  </si>
  <si>
    <t xml:space="preserve">Seated on chair</t>
  </si>
  <si>
    <t xml:space="preserve">Chaise</t>
  </si>
  <si>
    <t xml:space="preserve">Dos (mobilité)</t>
  </si>
  <si>
    <t xml:space="preserve">P022</t>
  </si>
  <si>
    <t xml:space="preserve">Assise sur ballon, cercles du bassin</t>
  </si>
  <si>
    <t xml:space="preserve">Birth ball circles</t>
  </si>
  <si>
    <t xml:space="preserve">Mobilisation</t>
  </si>
  <si>
    <t xml:space="preserve">Échauffement</t>
  </si>
  <si>
    <t xml:space="preserve">Ballon</t>
  </si>
  <si>
    <t xml:space="preserve">Dos (mobilité), Périnée, Hanches (rotation externe)</t>
  </si>
  <si>
    <t xml:space="preserve">P023</t>
  </si>
  <si>
    <t xml:space="preserve">Bras tendus en V (Ego Eradicator)</t>
  </si>
  <si>
    <t xml:space="preserve">Ego eradicator</t>
  </si>
  <si>
    <t xml:space="preserve">Épaules (ouverture), Force des bras, Respiration</t>
  </si>
  <si>
    <t xml:space="preserve">Rotations du cou et des épaules</t>
  </si>
  <si>
    <t xml:space="preserve">Avec respiration de feu : mêmes précautions</t>
  </si>
  <si>
    <t xml:space="preserve">P024</t>
  </si>
  <si>
    <t xml:space="preserve">Marjaryasana-Bitilasana</t>
  </si>
  <si>
    <t xml:space="preserve">Chat-vache</t>
  </si>
  <si>
    <t xml:space="preserve">Cat-cow</t>
  </si>
  <si>
    <t xml:space="preserve">Dos (mobilité), Colonne (extension)</t>
  </si>
  <si>
    <t xml:space="preserve">Poignets : sur les poings ou avant-bras ; grossesse : sans creuser les lombaires</t>
  </si>
  <si>
    <t xml:space="preserve">P025</t>
  </si>
  <si>
    <t xml:space="preserve">Chat-vache sur chaise</t>
  </si>
  <si>
    <t xml:space="preserve">Seated cat-cow</t>
  </si>
  <si>
    <t xml:space="preserve">P026</t>
  </si>
  <si>
    <t xml:space="preserve">Quadrupédie, bascule du bassin à l'expiration</t>
  </si>
  <si>
    <t xml:space="preserve">Tabletop pelvic tilt</t>
  </si>
  <si>
    <t xml:space="preserve">Dos (mobilité), Périnée, Sangle abdominale</t>
  </si>
  <si>
    <t xml:space="preserve">P027</t>
  </si>
  <si>
    <t xml:space="preserve">Bascule du bassin allongée</t>
  </si>
  <si>
    <t xml:space="preserve">Supine pelvic tilt</t>
  </si>
  <si>
    <t xml:space="preserve">Grossesse avancée : préférer la version en quadrupédie</t>
  </si>
  <si>
    <t xml:space="preserve">P028</t>
  </si>
  <si>
    <t xml:space="preserve">Neck and shoulder rolls</t>
  </si>
  <si>
    <t xml:space="preserve">Nuque, Épaules (ouverture)</t>
  </si>
  <si>
    <t xml:space="preserve">Cervicales : demi-cercles uniquement</t>
  </si>
  <si>
    <t xml:space="preserve">P029</t>
  </si>
  <si>
    <t xml:space="preserve">Pawanmuktasana (série)</t>
  </si>
  <si>
    <t xml:space="preserve">Série de déblocage articulaire</t>
  </si>
  <si>
    <t xml:space="preserve">Joint freeing series</t>
  </si>
  <si>
    <t xml:space="preserve">Dos (mobilité), Chevilles / pieds, Poignets</t>
  </si>
  <si>
    <t xml:space="preserve">P030</t>
  </si>
  <si>
    <t xml:space="preserve">Flexions de colonne assise</t>
  </si>
  <si>
    <t xml:space="preserve">Spinal flex</t>
  </si>
  <si>
    <t xml:space="preserve">P031</t>
  </si>
  <si>
    <t xml:space="preserve">Rotations du buste assis</t>
  </si>
  <si>
    <t xml:space="preserve">Seated spinal twists</t>
  </si>
  <si>
    <t xml:space="preserve">Colonne (rotation)</t>
  </si>
  <si>
    <t xml:space="preserve">P032</t>
  </si>
  <si>
    <t xml:space="preserve">Haussements d'épaules rythmés</t>
  </si>
  <si>
    <t xml:space="preserve">Shoulder shrugs</t>
  </si>
  <si>
    <t xml:space="preserve">Épaules (ouverture), Nuque</t>
  </si>
  <si>
    <t xml:space="preserve">P033</t>
  </si>
  <si>
    <t xml:space="preserve">Sat Kriya</t>
  </si>
  <si>
    <t xml:space="preserve">Sat kriya</t>
  </si>
  <si>
    <t xml:space="preserve">Sangle abdominale, Respiration</t>
  </si>
  <si>
    <t xml:space="preserve">Contre-indiqué : grossesse ; tenir peu de temps au début</t>
  </si>
  <si>
    <t xml:space="preserve">P034</t>
  </si>
  <si>
    <t xml:space="preserve">Étirement latéral assis</t>
  </si>
  <si>
    <t xml:space="preserve">Seated side bend</t>
  </si>
  <si>
    <t xml:space="preserve">Flexion latérale</t>
  </si>
  <si>
    <t xml:space="preserve">Flancs</t>
  </si>
  <si>
    <t xml:space="preserve">P035</t>
  </si>
  <si>
    <t xml:space="preserve">Étirement en suspension (auto-grandissement)</t>
  </si>
  <si>
    <t xml:space="preserve">Hanging stretch</t>
  </si>
  <si>
    <t xml:space="preserve">Espalier ou barre</t>
  </si>
  <si>
    <t xml:space="preserve">Dos (mobilité), Épaules (ouverture)</t>
  </si>
  <si>
    <t xml:space="preserve">Relâcher le poids, allonger la colonne</t>
  </si>
  <si>
    <t xml:space="preserve">P036</t>
  </si>
  <si>
    <t xml:space="preserve">Livre ouvert (rotation thoracique couchée)</t>
  </si>
  <si>
    <t xml:space="preserve">Open book</t>
  </si>
  <si>
    <t xml:space="preserve">Torsion</t>
  </si>
  <si>
    <t xml:space="preserve">Colonne (rotation), Épaules (ouverture)</t>
  </si>
  <si>
    <t xml:space="preserve">P037</t>
  </si>
  <si>
    <t xml:space="preserve">Supta Padangusthasana</t>
  </si>
  <si>
    <t xml:space="preserve">Étirement de la jambe allongé</t>
  </si>
  <si>
    <t xml:space="preserve">Reclining hand to big toe</t>
  </si>
  <si>
    <t xml:space="preserve">Allongée</t>
  </si>
  <si>
    <t xml:space="preserve">Sangle</t>
  </si>
  <si>
    <t xml:space="preserve">Ischio-jambiers</t>
  </si>
  <si>
    <t xml:space="preserve">P038</t>
  </si>
  <si>
    <t xml:space="preserve">Anjaneyasana</t>
  </si>
  <si>
    <t xml:space="preserve">Fente basse</t>
  </si>
  <si>
    <t xml:space="preserve">Low lunge</t>
  </si>
  <si>
    <t xml:space="preserve">Debout</t>
  </si>
  <si>
    <t xml:space="preserve">Couverture</t>
  </si>
  <si>
    <t xml:space="preserve">Psoas / fléchisseurs de hanche, Quadriceps</t>
  </si>
  <si>
    <t xml:space="preserve">Chat-vache; Chien tête en bas</t>
  </si>
  <si>
    <t xml:space="preserve">Chien tête en bas</t>
  </si>
  <si>
    <t xml:space="preserve">Genou arrière : couverture pliée</t>
  </si>
  <si>
    <t xml:space="preserve">P039</t>
  </si>
  <si>
    <t xml:space="preserve">Ardha Hanumanasana</t>
  </si>
  <si>
    <t xml:space="preserve">Demi-grand écart</t>
  </si>
  <si>
    <t xml:space="preserve">Half splits</t>
  </si>
  <si>
    <t xml:space="preserve">Flexion avant</t>
  </si>
  <si>
    <t xml:space="preserve">Briques</t>
  </si>
  <si>
    <t xml:space="preserve">Fente basse; Étirement de la jambe allongé</t>
  </si>
  <si>
    <t xml:space="preserve">P040</t>
  </si>
  <si>
    <t xml:space="preserve">Utthan Pristhasana</t>
  </si>
  <si>
    <t xml:space="preserve">Lézard</t>
  </si>
  <si>
    <t xml:space="preserve">Lizard</t>
  </si>
  <si>
    <t xml:space="preserve">Ouverture de hanches</t>
  </si>
  <si>
    <t xml:space="preserve">Psoas / fléchisseurs de hanche, Hanches (rotation externe), Adducteurs</t>
  </si>
  <si>
    <t xml:space="preserve">Fente basse; Pigeon allongé (chiffre 4)</t>
  </si>
  <si>
    <t xml:space="preserve">P041</t>
  </si>
  <si>
    <t xml:space="preserve">Malasana</t>
  </si>
  <si>
    <t xml:space="preserve">Guirlande (accroupi)</t>
  </si>
  <si>
    <t xml:space="preserve">Garland</t>
  </si>
  <si>
    <t xml:space="preserve">Hanches (rotation externe), Adducteurs, Chevilles / pieds</t>
  </si>
  <si>
    <t xml:space="preserve">Déesse; Papillon (assis droit)</t>
  </si>
  <si>
    <t xml:space="preserve">Pince debout</t>
  </si>
  <si>
    <t xml:space="preserve">Genoux : brique sous les talons ou les fesses</t>
  </si>
  <si>
    <t xml:space="preserve">P042</t>
  </si>
  <si>
    <t xml:space="preserve">Accroupi soutenu (préparation à l'accouchement)</t>
  </si>
  <si>
    <t xml:space="preserve">Supported squat</t>
  </si>
  <si>
    <t xml:space="preserve">Briques, chaise</t>
  </si>
  <si>
    <t xml:space="preserve">Hanches (rotation externe), Adducteurs, Périnée</t>
  </si>
  <si>
    <t xml:space="preserve">Pas en cas de placenta bas ou de bébé en siège après 34 sem. (avis médical)</t>
  </si>
  <si>
    <t xml:space="preserve">P043</t>
  </si>
  <si>
    <t xml:space="preserve">Chien-oiseau (quadrupédie, bras et jambe opposés)</t>
  </si>
  <si>
    <t xml:space="preserve">Bird dog</t>
  </si>
  <si>
    <t xml:space="preserve">Gainage</t>
  </si>
  <si>
    <t xml:space="preserve">Sangle abdominale, Équilibre, Fessiers</t>
  </si>
  <si>
    <t xml:space="preserve">P044</t>
  </si>
  <si>
    <t xml:space="preserve">Surya Namaskar A</t>
  </si>
  <si>
    <t xml:space="preserve">Salutation au soleil A</t>
  </si>
  <si>
    <t xml:space="preserve">Sun salutation A</t>
  </si>
  <si>
    <t xml:space="preserve">Enchaînement</t>
  </si>
  <si>
    <t xml:space="preserve">Salutations</t>
  </si>
  <si>
    <t xml:space="preserve">Ischio-jambiers, Force des bras, Sangle abdominale</t>
  </si>
  <si>
    <t xml:space="preserve">Posture de l'enfant</t>
  </si>
  <si>
    <t xml:space="preserve">Lombaires : genoux fléchis ; poignets : genoux au sol</t>
  </si>
  <si>
    <t xml:space="preserve">P045</t>
  </si>
  <si>
    <t xml:space="preserve">Surya Namaskar B</t>
  </si>
  <si>
    <t xml:space="preserve">Salutation au soleil B</t>
  </si>
  <si>
    <t xml:space="preserve">Sun salutation B</t>
  </si>
  <si>
    <t xml:space="preserve">Force des jambes, Force des bras, Sangle abdominale</t>
  </si>
  <si>
    <t xml:space="preserve">Salutation au soleil A; Chaise; Guerrier I</t>
  </si>
  <si>
    <t xml:space="preserve">P046</t>
  </si>
  <si>
    <t xml:space="preserve">Surya Namaskar (Sivananda)</t>
  </si>
  <si>
    <t xml:space="preserve">Salutation au soleil Sivananda (12 temps)</t>
  </si>
  <si>
    <t xml:space="preserve">Sivananda sun salutation</t>
  </si>
  <si>
    <t xml:space="preserve">Ischio-jambiers, Psoas / fléchisseurs de hanche, Colonne (extension)</t>
  </si>
  <si>
    <t xml:space="preserve">P047</t>
  </si>
  <si>
    <t xml:space="preserve">Chandra Namaskar</t>
  </si>
  <si>
    <t xml:space="preserve">Salutation à la lune</t>
  </si>
  <si>
    <t xml:space="preserve">Moon salutation</t>
  </si>
  <si>
    <t xml:space="preserve">Flancs, Hanches (rotation externe), Force des jambes</t>
  </si>
  <si>
    <t xml:space="preserve">Grossesse : version sans planche ni cobra</t>
  </si>
  <si>
    <t xml:space="preserve">P048</t>
  </si>
  <si>
    <t xml:space="preserve">Salutation au soleil sur chaise</t>
  </si>
  <si>
    <t xml:space="preserve">Chair sun salutation</t>
  </si>
  <si>
    <t xml:space="preserve">P049</t>
  </si>
  <si>
    <t xml:space="preserve">Vinyasa (planche, chaturanga, chien tête en haut, chien tête en bas)</t>
  </si>
  <si>
    <t xml:space="preserve">Vinyasa flow</t>
  </si>
  <si>
    <t xml:space="preserve">Force des bras, Sangle abdominale, Colonne (extension), Poignets</t>
  </si>
  <si>
    <t xml:space="preserve">Planche; Cobra; Chien tête en bas</t>
  </si>
  <si>
    <t xml:space="preserve">Épaules, poignets : version genoux au sol</t>
  </si>
  <si>
    <t xml:space="preserve">P050</t>
  </si>
  <si>
    <t xml:space="preserve">Tadasana / Samasthiti</t>
  </si>
  <si>
    <t xml:space="preserve">Montagne</t>
  </si>
  <si>
    <t xml:space="preserve">Mountain pose</t>
  </si>
  <si>
    <t xml:space="preserve">Équilibre</t>
  </si>
  <si>
    <t xml:space="preserve">P051</t>
  </si>
  <si>
    <t xml:space="preserve">Urdhva Hastasana</t>
  </si>
  <si>
    <t xml:space="preserve">Bras levés</t>
  </si>
  <si>
    <t xml:space="preserve">Upward salute</t>
  </si>
  <si>
    <t xml:space="preserve">Épaules (ouverture), Flancs</t>
  </si>
  <si>
    <t xml:space="preserve">P052</t>
  </si>
  <si>
    <t xml:space="preserve">Uttanasana</t>
  </si>
  <si>
    <t xml:space="preserve">Standing forward fold</t>
  </si>
  <si>
    <t xml:space="preserve">Lombaires, sciatique : genoux fléchis ; hypertension : tête pas sous le cœur longtemps</t>
  </si>
  <si>
    <t xml:space="preserve">P053</t>
  </si>
  <si>
    <t xml:space="preserve">Ardha Uttanasana</t>
  </si>
  <si>
    <t xml:space="preserve">Demi-pince (dos plat)</t>
  </si>
  <si>
    <t xml:space="preserve">Half forward fold</t>
  </si>
  <si>
    <t xml:space="preserve">Ischio-jambiers, Dos (mobilité)</t>
  </si>
  <si>
    <t xml:space="preserve">P054</t>
  </si>
  <si>
    <t xml:space="preserve">Padangusthasana</t>
  </si>
  <si>
    <t xml:space="preserve">Mains aux gros orteils</t>
  </si>
  <si>
    <t xml:space="preserve">Big toe pose</t>
  </si>
  <si>
    <t xml:space="preserve">Demi-pince (dos plat); Pince debout</t>
  </si>
  <si>
    <t xml:space="preserve">Table inversée</t>
  </si>
  <si>
    <t xml:space="preserve">P055</t>
  </si>
  <si>
    <t xml:space="preserve">Padahastasana</t>
  </si>
  <si>
    <t xml:space="preserve">Mains sous les pieds</t>
  </si>
  <si>
    <t xml:space="preserve">Hand under foot pose</t>
  </si>
  <si>
    <t xml:space="preserve">Ischio-jambiers, Poignets</t>
  </si>
  <si>
    <t xml:space="preserve">P056</t>
  </si>
  <si>
    <t xml:space="preserve">Utkatasana</t>
  </si>
  <si>
    <t xml:space="preserve">Chair pose</t>
  </si>
  <si>
    <t xml:space="preserve">Quadriceps, Force des jambes, Fessiers</t>
  </si>
  <si>
    <t xml:space="preserve">P057</t>
  </si>
  <si>
    <t xml:space="preserve">Parivrtta Utkatasana</t>
  </si>
  <si>
    <t xml:space="preserve">Chaise en torsion</t>
  </si>
  <si>
    <t xml:space="preserve">Revolved chair</t>
  </si>
  <si>
    <t xml:space="preserve">Quadriceps, Colonne (rotation)</t>
  </si>
  <si>
    <t xml:space="preserve">Chaise; Demi-torsion assise</t>
  </si>
  <si>
    <t xml:space="preserve">Genoux poitrine</t>
  </si>
  <si>
    <t xml:space="preserve">Grossesse : non (torsion fermée)</t>
  </si>
  <si>
    <t xml:space="preserve">P058</t>
  </si>
  <si>
    <t xml:space="preserve">Utkata Konasana</t>
  </si>
  <si>
    <t xml:space="preserve">Déesse</t>
  </si>
  <si>
    <t xml:space="preserve">Goddess</t>
  </si>
  <si>
    <t xml:space="preserve">Adducteurs, Quadriceps, Hanches (rotation externe)</t>
  </si>
  <si>
    <t xml:space="preserve">Genoux dans l'axe des pieds</t>
  </si>
  <si>
    <t xml:space="preserve">P059</t>
  </si>
  <si>
    <t xml:space="preserve">Virabhadrasana I</t>
  </si>
  <si>
    <t xml:space="preserve">Guerrier I</t>
  </si>
  <si>
    <t xml:space="preserve">Warrior I</t>
  </si>
  <si>
    <t xml:space="preserve">Psoas / fléchisseurs de hanche, Quadriceps, Force des jambes</t>
  </si>
  <si>
    <t xml:space="preserve">Fente basse; Fente haute</t>
  </si>
  <si>
    <t xml:space="preserve">P060</t>
  </si>
  <si>
    <t xml:space="preserve">Virabhadrasana II</t>
  </si>
  <si>
    <t xml:space="preserve">Guerrier II</t>
  </si>
  <si>
    <t xml:space="preserve">Warrior II</t>
  </si>
  <si>
    <t xml:space="preserve">Force des jambes, Hanches (rotation externe), Adducteurs</t>
  </si>
  <si>
    <t xml:space="preserve">P061</t>
  </si>
  <si>
    <t xml:space="preserve">Viparita Virabhadrasana</t>
  </si>
  <si>
    <t xml:space="preserve">Guerrier inversé</t>
  </si>
  <si>
    <t xml:space="preserve">Reverse warrior</t>
  </si>
  <si>
    <t xml:space="preserve">Flancs, Force des jambes</t>
  </si>
  <si>
    <t xml:space="preserve">P062</t>
  </si>
  <si>
    <t xml:space="preserve">Baddha Virabhadrasana</t>
  </si>
  <si>
    <t xml:space="preserve">Guerrier humble</t>
  </si>
  <si>
    <t xml:space="preserve">Humble warrior</t>
  </si>
  <si>
    <t xml:space="preserve">Épaules (ouverture), Psoas / fléchisseurs de hanche</t>
  </si>
  <si>
    <t xml:space="preserve">Guerrier I; Chiot (cœur fondant)</t>
  </si>
  <si>
    <t xml:space="preserve">Hypertension ; grossesse : non</t>
  </si>
  <si>
    <t xml:space="preserve">P063</t>
  </si>
  <si>
    <t xml:space="preserve">Virabhadrasana III</t>
  </si>
  <si>
    <t xml:space="preserve">Guerrier III</t>
  </si>
  <si>
    <t xml:space="preserve">Warrior III</t>
  </si>
  <si>
    <t xml:space="preserve">Équilibre, Ischio-jambiers, Fessiers, Sangle abdominale</t>
  </si>
  <si>
    <t xml:space="preserve">Fente haute; Demi-pince (dos plat); Guerrier I</t>
  </si>
  <si>
    <t xml:space="preserve">P064</t>
  </si>
  <si>
    <t xml:space="preserve">Ashta Chandrasana</t>
  </si>
  <si>
    <t xml:space="preserve">Fente haute</t>
  </si>
  <si>
    <t xml:space="preserve">High lunge</t>
  </si>
  <si>
    <t xml:space="preserve">Psoas / fléchisseurs de hanche, Quadriceps, Force des jambes, Équilibre</t>
  </si>
  <si>
    <t xml:space="preserve">P065</t>
  </si>
  <si>
    <t xml:space="preserve">Parivrtta Anjaneyasana</t>
  </si>
  <si>
    <t xml:space="preserve">Fente en torsion</t>
  </si>
  <si>
    <t xml:space="preserve">Twisted lunge</t>
  </si>
  <si>
    <t xml:space="preserve">Colonne (rotation), Psoas / fléchisseurs de hanche, Quadriceps</t>
  </si>
  <si>
    <t xml:space="preserve">Fente basse; Demi-torsion assise</t>
  </si>
  <si>
    <t xml:space="preserve">Grossesse : non</t>
  </si>
  <si>
    <t xml:space="preserve">P066</t>
  </si>
  <si>
    <t xml:space="preserve">Skandasana</t>
  </si>
  <si>
    <t xml:space="preserve">Fente latérale</t>
  </si>
  <si>
    <t xml:space="preserve">Side lunge</t>
  </si>
  <si>
    <t xml:space="preserve">Adducteurs, Hanches (rotation externe), Ischio-jambiers</t>
  </si>
  <si>
    <t xml:space="preserve">Déesse; Grand écart facial debout (jambes écartées)</t>
  </si>
  <si>
    <t xml:space="preserve">P067</t>
  </si>
  <si>
    <t xml:space="preserve">Utthita Trikonasana</t>
  </si>
  <si>
    <t xml:space="preserve">Triangle</t>
  </si>
  <si>
    <t xml:space="preserve">Extended triangle</t>
  </si>
  <si>
    <t xml:space="preserve">Ischio-jambiers, Flancs, Adducteurs</t>
  </si>
  <si>
    <t xml:space="preserve">Guerrier II; Étirement latéral assis</t>
  </si>
  <si>
    <t xml:space="preserve">Cervicales : regard vers le sol</t>
  </si>
  <si>
    <t xml:space="preserve">P068</t>
  </si>
  <si>
    <t xml:space="preserve">Parivrtta Trikonasana</t>
  </si>
  <si>
    <t xml:space="preserve">Triangle en torsion</t>
  </si>
  <si>
    <t xml:space="preserve">Revolved triangle</t>
  </si>
  <si>
    <t xml:space="preserve">Ischio-jambiers, Colonne (rotation), Équilibre</t>
  </si>
  <si>
    <t xml:space="preserve">Pyramide; Fente en torsion; Triangle</t>
  </si>
  <si>
    <t xml:space="preserve">Lombaires, sacro-iliaques ; grossesse : non</t>
  </si>
  <si>
    <t xml:space="preserve">P069</t>
  </si>
  <si>
    <t xml:space="preserve">Utthita Parsvakonasana</t>
  </si>
  <si>
    <t xml:space="preserve">Angle latéral étiré</t>
  </si>
  <si>
    <t xml:space="preserve">Extended side angle</t>
  </si>
  <si>
    <t xml:space="preserve">Flancs, Adducteurs, Force des jambes</t>
  </si>
  <si>
    <t xml:space="preserve">P070</t>
  </si>
  <si>
    <t xml:space="preserve">Parivrtta Parsvakonasana</t>
  </si>
  <si>
    <t xml:space="preserve">Angle latéral en torsion</t>
  </si>
  <si>
    <t xml:space="preserve">Revolved side angle</t>
  </si>
  <si>
    <t xml:space="preserve">Colonne (rotation), Quadriceps, Équilibre</t>
  </si>
  <si>
    <t xml:space="preserve">Chaise en torsion; Fente en torsion</t>
  </si>
  <si>
    <t xml:space="preserve">P071</t>
  </si>
  <si>
    <t xml:space="preserve">Prasarita Padottanasana</t>
  </si>
  <si>
    <t xml:space="preserve">Grand écart facial debout (jambes écartées)</t>
  </si>
  <si>
    <t xml:space="preserve">Wide-legged forward fold</t>
  </si>
  <si>
    <t xml:space="preserve">Ischio-jambiers, Adducteurs</t>
  </si>
  <si>
    <t xml:space="preserve">Grossesse : tête sur brique, pas longtemps</t>
  </si>
  <si>
    <t xml:space="preserve">P072</t>
  </si>
  <si>
    <t xml:space="preserve">Parsvottanasana</t>
  </si>
  <si>
    <t xml:space="preserve">Pyramide</t>
  </si>
  <si>
    <t xml:space="preserve">Intense side stretch</t>
  </si>
  <si>
    <t xml:space="preserve">Ischio-jambiers, Équilibre</t>
  </si>
  <si>
    <t xml:space="preserve">Demi-pince (dos plat); Demi-grand écart</t>
  </si>
  <si>
    <t xml:space="preserve">P073</t>
  </si>
  <si>
    <t xml:space="preserve">Ardha Chandrasana</t>
  </si>
  <si>
    <t xml:space="preserve">Demi-lune</t>
  </si>
  <si>
    <t xml:space="preserve">Half moon</t>
  </si>
  <si>
    <t xml:space="preserve">Équilibre, Ischio-jambiers, Adducteurs, Flancs</t>
  </si>
  <si>
    <t xml:space="preserve">Triangle; Arbre</t>
  </si>
  <si>
    <t xml:space="preserve">P074</t>
  </si>
  <si>
    <t xml:space="preserve">Parivrtta Ardha Chandrasana</t>
  </si>
  <si>
    <t xml:space="preserve">Demi-lune en torsion</t>
  </si>
  <si>
    <t xml:space="preserve">Revolved half moon</t>
  </si>
  <si>
    <t xml:space="preserve">Équilibre, Colonne (rotation), Ischio-jambiers</t>
  </si>
  <si>
    <t xml:space="preserve">Triangle en torsion; Demi-lune</t>
  </si>
  <si>
    <t xml:space="preserve">P075</t>
  </si>
  <si>
    <t xml:space="preserve">Vrksasana</t>
  </si>
  <si>
    <t xml:space="preserve">Arbre</t>
  </si>
  <si>
    <t xml:space="preserve">Tree pose</t>
  </si>
  <si>
    <t xml:space="preserve">Mur ou chaise</t>
  </si>
  <si>
    <t xml:space="preserve">Équilibre, Hanches (rotation externe), Chevilles / pieds</t>
  </si>
  <si>
    <t xml:space="preserve">Montagne; Papillon (assis droit)</t>
  </si>
  <si>
    <t xml:space="preserve">P076</t>
  </si>
  <si>
    <t xml:space="preserve">Garudasana</t>
  </si>
  <si>
    <t xml:space="preserve">Aigle</t>
  </si>
  <si>
    <t xml:space="preserve">Eagle pose</t>
  </si>
  <si>
    <t xml:space="preserve">Équilibre, Épaules (ouverture), Fessiers</t>
  </si>
  <si>
    <t xml:space="preserve">Chaise; Tête de vache</t>
  </si>
  <si>
    <t xml:space="preserve">P077</t>
  </si>
  <si>
    <t xml:space="preserve">Utthita Hasta Padangusthasana</t>
  </si>
  <si>
    <t xml:space="preserve">Main au gros orteil debout</t>
  </si>
  <si>
    <t xml:space="preserve">Extended hand to big toe</t>
  </si>
  <si>
    <t xml:space="preserve">Équilibre, Ischio-jambiers</t>
  </si>
  <si>
    <t xml:space="preserve">Étirement de la jambe allongé; Arbre</t>
  </si>
  <si>
    <t xml:space="preserve">P078</t>
  </si>
  <si>
    <t xml:space="preserve">Natarajasana</t>
  </si>
  <si>
    <t xml:space="preserve">Danseur</t>
  </si>
  <si>
    <t xml:space="preserve">Dancer pose</t>
  </si>
  <si>
    <t xml:space="preserve">Équilibre, Quadriceps, Psoas / fléchisseurs de hanche, Colonne (extension), Épaules (ouverture)</t>
  </si>
  <si>
    <t xml:space="preserve">Fente basse; Arc; Arbre</t>
  </si>
  <si>
    <t xml:space="preserve">P079</t>
  </si>
  <si>
    <t xml:space="preserve">Ardha Baddha Padmottanasana</t>
  </si>
  <si>
    <t xml:space="preserve">Pince debout en demi-lotus</t>
  </si>
  <si>
    <t xml:space="preserve">Half bound lotus forward fold</t>
  </si>
  <si>
    <t xml:space="preserve">Équilibre, Hanches (rotation externe), Ischio-jambiers</t>
  </si>
  <si>
    <t xml:space="preserve">Demi-lotus; Arbre; Pince debout</t>
  </si>
  <si>
    <t xml:space="preserve">P080</t>
  </si>
  <si>
    <t xml:space="preserve">Guerrier II sur chaise</t>
  </si>
  <si>
    <t xml:space="preserve">Chair warrior II</t>
  </si>
  <si>
    <t xml:space="preserve">Force des jambes, Hanches (rotation externe)</t>
  </si>
  <si>
    <t xml:space="preserve">P081</t>
  </si>
  <si>
    <t xml:space="preserve">Fente avec appui sur chaise</t>
  </si>
  <si>
    <t xml:space="preserve">Chair-supported lunge</t>
  </si>
  <si>
    <t xml:space="preserve">P082</t>
  </si>
  <si>
    <t xml:space="preserve">Archer</t>
  </si>
  <si>
    <t xml:space="preserve">Archer pose</t>
  </si>
  <si>
    <t xml:space="preserve">Force des jambes, Épaules (ouverture)</t>
  </si>
  <si>
    <t xml:space="preserve">P083</t>
  </si>
  <si>
    <t xml:space="preserve">Grenouille dynamique (kundalini)</t>
  </si>
  <si>
    <t xml:space="preserve">Kundalini frog</t>
  </si>
  <si>
    <t xml:space="preserve">Force des jambes, Quadriceps</t>
  </si>
  <si>
    <t xml:space="preserve">Guirlande (accroupi); Chaise</t>
  </si>
  <si>
    <t xml:space="preserve">Genoux ; grossesse : non</t>
  </si>
  <si>
    <t xml:space="preserve">P084</t>
  </si>
  <si>
    <t xml:space="preserve">Parsva Tadasana</t>
  </si>
  <si>
    <t xml:space="preserve">Croissant debout</t>
  </si>
  <si>
    <t xml:space="preserve">Standing side bend</t>
  </si>
  <si>
    <t xml:space="preserve">P085</t>
  </si>
  <si>
    <t xml:space="preserve">Phalakasana</t>
  </si>
  <si>
    <t xml:space="preserve">Planche</t>
  </si>
  <si>
    <t xml:space="preserve">Plank</t>
  </si>
  <si>
    <t xml:space="preserve">Sangle abdominale, Force des bras, Poignets</t>
  </si>
  <si>
    <t xml:space="preserve">Poignets : genoux au sol ; post-partum : attendre la récupération du périnée et des grands droits</t>
  </si>
  <si>
    <t xml:space="preserve">P086</t>
  </si>
  <si>
    <t xml:space="preserve">Chaturanga Dandasana</t>
  </si>
  <si>
    <t xml:space="preserve">Chaturanga</t>
  </si>
  <si>
    <t xml:space="preserve">Four-limbed staff</t>
  </si>
  <si>
    <t xml:space="preserve">Force des bras, Sangle abdominale, Poignets</t>
  </si>
  <si>
    <t xml:space="preserve">Planche; Planche sur avant-bras</t>
  </si>
  <si>
    <t xml:space="preserve">Épaules : genoux au sol</t>
  </si>
  <si>
    <t xml:space="preserve">P087</t>
  </si>
  <si>
    <t xml:space="preserve">Planche sur avant-bras</t>
  </si>
  <si>
    <t xml:space="preserve">Forearm plank</t>
  </si>
  <si>
    <t xml:space="preserve">Sangle abdominale, Épaules (ouverture)</t>
  </si>
  <si>
    <t xml:space="preserve">P088</t>
  </si>
  <si>
    <t xml:space="preserve">Vasisthasana</t>
  </si>
  <si>
    <t xml:space="preserve">Planche latérale</t>
  </si>
  <si>
    <t xml:space="preserve">Side plank</t>
  </si>
  <si>
    <t xml:space="preserve">Sangle abdominale, Flancs, Force des bras, Poignets, Équilibre</t>
  </si>
  <si>
    <t xml:space="preserve">Planche; Planche latérale genou au sol</t>
  </si>
  <si>
    <t xml:space="preserve">P089</t>
  </si>
  <si>
    <t xml:space="preserve">Ardha Vasisthasana</t>
  </si>
  <si>
    <t xml:space="preserve">Planche latérale genou au sol</t>
  </si>
  <si>
    <t xml:space="preserve">Half side plank</t>
  </si>
  <si>
    <t xml:space="preserve">Sangle abdominale, Flancs, Force des bras</t>
  </si>
  <si>
    <t xml:space="preserve">P090</t>
  </si>
  <si>
    <t xml:space="preserve">Navasana</t>
  </si>
  <si>
    <t xml:space="preserve">Bateau</t>
  </si>
  <si>
    <t xml:space="preserve">Boat pose</t>
  </si>
  <si>
    <t xml:space="preserve">Sangle abdominale, Psoas / fléchisseurs de hanche, Équilibre</t>
  </si>
  <si>
    <t xml:space="preserve">Demi-bateau; Gainage du transverse allongé (expiration)</t>
  </si>
  <si>
    <t xml:space="preserve">Genoux poitrine; Pont</t>
  </si>
  <si>
    <t xml:space="preserve">Lombaires : genoux fléchis ; grossesse et post-partum : non</t>
  </si>
  <si>
    <t xml:space="preserve">P091</t>
  </si>
  <si>
    <t xml:space="preserve">Ardha Navasana</t>
  </si>
  <si>
    <t xml:space="preserve">Demi-bateau</t>
  </si>
  <si>
    <t xml:space="preserve">Half boat</t>
  </si>
  <si>
    <t xml:space="preserve">Sangle abdominale, Psoas / fléchisseurs de hanche</t>
  </si>
  <si>
    <t xml:space="preserve">Grossesse et post-partum : non</t>
  </si>
  <si>
    <t xml:space="preserve">P092</t>
  </si>
  <si>
    <t xml:space="preserve">Gainage du transverse allongé (expiration)</t>
  </si>
  <si>
    <t xml:space="preserve">Supine transverse activation</t>
  </si>
  <si>
    <t xml:space="preserve">Sangle abdominale, Périnée, Respiration</t>
  </si>
  <si>
    <t xml:space="preserve">Expirer en rentrant le nombril et en remontant le périnée</t>
  </si>
  <si>
    <t xml:space="preserve">P093</t>
  </si>
  <si>
    <t xml:space="preserve">Purvottanasana</t>
  </si>
  <si>
    <t xml:space="preserve">Planche inversée</t>
  </si>
  <si>
    <t xml:space="preserve">Upward plank</t>
  </si>
  <si>
    <t xml:space="preserve">Extension</t>
  </si>
  <si>
    <t xml:space="preserve">Épaules (ouverture), Force des bras, Fessiers</t>
  </si>
  <si>
    <t xml:space="preserve">Table inversée; Pont</t>
  </si>
  <si>
    <t xml:space="preserve">Pince assise</t>
  </si>
  <si>
    <t xml:space="preserve">Poignets, épaules</t>
  </si>
  <si>
    <t xml:space="preserve">P094</t>
  </si>
  <si>
    <t xml:space="preserve">Ardha Purvottanasana</t>
  </si>
  <si>
    <t xml:space="preserve">Reverse tabletop</t>
  </si>
  <si>
    <t xml:space="preserve">Épaules (ouverture), Fessiers, Force des bras</t>
  </si>
  <si>
    <t xml:space="preserve">P095</t>
  </si>
  <si>
    <t xml:space="preserve">Posture d'étirement (Stretch pose)</t>
  </si>
  <si>
    <t xml:space="preserve">Stretch pose</t>
  </si>
  <si>
    <t xml:space="preserve">Sangle abdominale</t>
  </si>
  <si>
    <t xml:space="preserve">Gainage du transverse allongé (expiration); Demi-bateau</t>
  </si>
  <si>
    <t xml:space="preserve">Lombaires ; grossesse : non</t>
  </si>
  <si>
    <t xml:space="preserve">P096</t>
  </si>
  <si>
    <t xml:space="preserve">Bakasana / Kakasana</t>
  </si>
  <si>
    <t xml:space="preserve">Corbeau</t>
  </si>
  <si>
    <t xml:space="preserve">Crow pose</t>
  </si>
  <si>
    <t xml:space="preserve">Équilibre sur les bras</t>
  </si>
  <si>
    <t xml:space="preserve">Pic</t>
  </si>
  <si>
    <t xml:space="preserve">Force des bras, Poignets, Sangle abdominale, Hanches (rotation externe)</t>
  </si>
  <si>
    <t xml:space="preserve">Guirlande (accroupi); Planche; Chat-vache</t>
  </si>
  <si>
    <t xml:space="preserve">Posture de l'enfant; Pince debout</t>
  </si>
  <si>
    <t xml:space="preserve">Poignets ; grossesse : non</t>
  </si>
  <si>
    <t xml:space="preserve">P097</t>
  </si>
  <si>
    <t xml:space="preserve">Parsva Bakasana</t>
  </si>
  <si>
    <t xml:space="preserve">Corbeau latéral</t>
  </si>
  <si>
    <t xml:space="preserve">Side crow</t>
  </si>
  <si>
    <t xml:space="preserve">Force des bras, Poignets, Sangle abdominale, Colonne (rotation)</t>
  </si>
  <si>
    <t xml:space="preserve">Chaise en torsion; Corbeau</t>
  </si>
  <si>
    <t xml:space="preserve">P098</t>
  </si>
  <si>
    <t xml:space="preserve">Bhujapidasana</t>
  </si>
  <si>
    <t xml:space="preserve">Pression sur les épaules</t>
  </si>
  <si>
    <t xml:space="preserve">Shoulder pressing pose</t>
  </si>
  <si>
    <t xml:space="preserve">Force des bras, Poignets, Ischio-jambiers, Hanches (rotation externe)</t>
  </si>
  <si>
    <t xml:space="preserve">Guirlande (accroupi); Pince debout; Corbeau</t>
  </si>
  <si>
    <t xml:space="preserve">P099</t>
  </si>
  <si>
    <t xml:space="preserve">Tittibhasana</t>
  </si>
  <si>
    <t xml:space="preserve">Luciole</t>
  </si>
  <si>
    <t xml:space="preserve">Firefly</t>
  </si>
  <si>
    <t xml:space="preserve">Force des bras, Poignets, Ischio-jambiers, Adducteurs, Sangle abdominale</t>
  </si>
  <si>
    <t xml:space="preserve">Grand écart facial debout (jambes écartées); Pression sur les épaules</t>
  </si>
  <si>
    <t xml:space="preserve">P100</t>
  </si>
  <si>
    <t xml:space="preserve">Eka Pada Koundinyasana</t>
  </si>
  <si>
    <t xml:space="preserve">Pose du sage Koundinya</t>
  </si>
  <si>
    <t xml:space="preserve">Flying splits</t>
  </si>
  <si>
    <t xml:space="preserve">Force des bras, Poignets, Colonne (rotation), Sangle abdominale</t>
  </si>
  <si>
    <t xml:space="preserve">Fente en torsion; Corbeau latéral</t>
  </si>
  <si>
    <t xml:space="preserve">P101</t>
  </si>
  <si>
    <t xml:space="preserve">Astavakrasana</t>
  </si>
  <si>
    <t xml:space="preserve">Pose des huit angles</t>
  </si>
  <si>
    <t xml:space="preserve">Eight-angle pose</t>
  </si>
  <si>
    <t xml:space="preserve">Planche; Corbeau latéral</t>
  </si>
  <si>
    <t xml:space="preserve">P102</t>
  </si>
  <si>
    <t xml:space="preserve">Tolasana / Utplutih</t>
  </si>
  <si>
    <t xml:space="preserve">Balance</t>
  </si>
  <si>
    <t xml:space="preserve">Scale pose</t>
  </si>
  <si>
    <t xml:space="preserve">Lotus; Bateau</t>
  </si>
  <si>
    <t xml:space="preserve">P103</t>
  </si>
  <si>
    <t xml:space="preserve">Lolasana</t>
  </si>
  <si>
    <t xml:space="preserve">Pendentif</t>
  </si>
  <si>
    <t xml:space="preserve">Pendant pose</t>
  </si>
  <si>
    <t xml:space="preserve">Force des bras, Poignets, Sangle abdominale</t>
  </si>
  <si>
    <t xml:space="preserve">Bateau; Planche</t>
  </si>
  <si>
    <t xml:space="preserve">P104</t>
  </si>
  <si>
    <t xml:space="preserve">Mayurasana</t>
  </si>
  <si>
    <t xml:space="preserve">Paon</t>
  </si>
  <si>
    <t xml:space="preserve">Peacock</t>
  </si>
  <si>
    <t xml:space="preserve">Planche; Corbeau</t>
  </si>
  <si>
    <t xml:space="preserve">Hypertension, grossesse, troubles digestifs</t>
  </si>
  <si>
    <t xml:space="preserve">P105</t>
  </si>
  <si>
    <t xml:space="preserve">Kukkutasana</t>
  </si>
  <si>
    <t xml:space="preserve">Coq</t>
  </si>
  <si>
    <t xml:space="preserve">Rooster</t>
  </si>
  <si>
    <t xml:space="preserve">Force des bras, Poignets, Hanches (rotation externe)</t>
  </si>
  <si>
    <t xml:space="preserve">Lotus; Corbeau</t>
  </si>
  <si>
    <t xml:space="preserve">P106</t>
  </si>
  <si>
    <t xml:space="preserve">Garbha Pindasana</t>
  </si>
  <si>
    <t xml:space="preserve">Embryon dans l'utérus</t>
  </si>
  <si>
    <t xml:space="preserve">Embryo in womb</t>
  </si>
  <si>
    <t xml:space="preserve">Hanches (rotation externe), Équilibre, Sangle abdominale</t>
  </si>
  <si>
    <t xml:space="preserve">P107</t>
  </si>
  <si>
    <t xml:space="preserve">Adho Mukha Svanasana</t>
  </si>
  <si>
    <t xml:space="preserve">Downward dog</t>
  </si>
  <si>
    <t xml:space="preserve">Inversion</t>
  </si>
  <si>
    <t xml:space="preserve">Ischio-jambiers, Épaules (ouverture), Force des bras, Chevilles / pieds</t>
  </si>
  <si>
    <t xml:space="preserve">Chat-vache; Planche</t>
  </si>
  <si>
    <t xml:space="preserve">Poignets ; hypertension non contrôlée ; grossesse : courte durée</t>
  </si>
  <si>
    <t xml:space="preserve">P108</t>
  </si>
  <si>
    <t xml:space="preserve">Ardha Pincha Mayurasana</t>
  </si>
  <si>
    <t xml:space="preserve">Dauphin</t>
  </si>
  <si>
    <t xml:space="preserve">Dolphin</t>
  </si>
  <si>
    <t xml:space="preserve">Épaules (ouverture), Sangle abdominale, Ischio-jambiers</t>
  </si>
  <si>
    <t xml:space="preserve">Chien tête en bas; Planche sur avant-bras</t>
  </si>
  <si>
    <t xml:space="preserve">Épaules, hypertension</t>
  </si>
  <si>
    <t xml:space="preserve">P109</t>
  </si>
  <si>
    <t xml:space="preserve">Sirsasana</t>
  </si>
  <si>
    <t xml:space="preserve">Équilibre sur la tête</t>
  </si>
  <si>
    <t xml:space="preserve">Headstand</t>
  </si>
  <si>
    <t xml:space="preserve">Mur</t>
  </si>
  <si>
    <t xml:space="preserve">Épaules (ouverture), Sangle abdominale, Équilibre, Nuque</t>
  </si>
  <si>
    <t xml:space="preserve">Dauphin; Planche sur avant-bras</t>
  </si>
  <si>
    <t xml:space="preserve">Cervicales, hypertension, glaucome, règles (selon école) ; grossesse : non</t>
  </si>
  <si>
    <t xml:space="preserve">P110</t>
  </si>
  <si>
    <t xml:space="preserve">Pincha Mayurasana</t>
  </si>
  <si>
    <t xml:space="preserve">Équilibre sur les avant-bras</t>
  </si>
  <si>
    <t xml:space="preserve">Forearm stand</t>
  </si>
  <si>
    <t xml:space="preserve">Épaules (ouverture), Sangle abdominale, Équilibre, Force des bras</t>
  </si>
  <si>
    <t xml:space="preserve">Dauphin; Chiot (cœur fondant); Équilibre sur la tête</t>
  </si>
  <si>
    <t xml:space="preserve">P111</t>
  </si>
  <si>
    <t xml:space="preserve">Adho Mukha Vrksasana</t>
  </si>
  <si>
    <t xml:space="preserve">Équilibre sur les mains</t>
  </si>
  <si>
    <t xml:space="preserve">Handstand</t>
  </si>
  <si>
    <t xml:space="preserve">Force des bras, Poignets, Sangle abdominale, Équilibre, Épaules (ouverture)</t>
  </si>
  <si>
    <t xml:space="preserve">Chien tête en bas; Planche; Chiot (cœur fondant)</t>
  </si>
  <si>
    <t xml:space="preserve">Pince debout; Posture de l'enfant</t>
  </si>
  <si>
    <t xml:space="preserve">P112</t>
  </si>
  <si>
    <t xml:space="preserve">Salamba Sarvangasana</t>
  </si>
  <si>
    <t xml:space="preserve">Chandelle</t>
  </si>
  <si>
    <t xml:space="preserve">Shoulder stand</t>
  </si>
  <si>
    <t xml:space="preserve">Couvertures sous les épaules</t>
  </si>
  <si>
    <t xml:space="preserve">Épaules (ouverture), Nuque, Sangle abdominale</t>
  </si>
  <si>
    <t xml:space="preserve">Pont; Jambes au mur</t>
  </si>
  <si>
    <t xml:space="preserve">Poisson</t>
  </si>
  <si>
    <t xml:space="preserve">Cervicales, hypertension, glaucome ; grossesse : non</t>
  </si>
  <si>
    <t xml:space="preserve">P113</t>
  </si>
  <si>
    <t xml:space="preserve">Halasana</t>
  </si>
  <si>
    <t xml:space="preserve">Charrue</t>
  </si>
  <si>
    <t xml:space="preserve">Plough</t>
  </si>
  <si>
    <t xml:space="preserve">Ischio-jambiers, Nuque, Dos (mobilité)</t>
  </si>
  <si>
    <t xml:space="preserve">Pince assise; Chandelle</t>
  </si>
  <si>
    <t xml:space="preserve">Cervicales, hypertension ; grossesse : non</t>
  </si>
  <si>
    <t xml:space="preserve">P114</t>
  </si>
  <si>
    <t xml:space="preserve">Karnapidasana</t>
  </si>
  <si>
    <t xml:space="preserve">Pression sur les oreilles</t>
  </si>
  <si>
    <t xml:space="preserve">Ear pressure pose</t>
  </si>
  <si>
    <t xml:space="preserve">Cervicales</t>
  </si>
  <si>
    <t xml:space="preserve">P115</t>
  </si>
  <si>
    <t xml:space="preserve">Urdhva Padmasana</t>
  </si>
  <si>
    <t xml:space="preserve">Lotus en chandelle</t>
  </si>
  <si>
    <t xml:space="preserve">Upward lotus</t>
  </si>
  <si>
    <t xml:space="preserve">Hanches (rotation externe), Nuque, Épaules (ouverture)</t>
  </si>
  <si>
    <t xml:space="preserve">Lotus; Chandelle</t>
  </si>
  <si>
    <t xml:space="preserve">P116</t>
  </si>
  <si>
    <t xml:space="preserve">Pindasana</t>
  </si>
  <si>
    <t xml:space="preserve">Embryon en chandelle</t>
  </si>
  <si>
    <t xml:space="preserve">Embryo pose</t>
  </si>
  <si>
    <t xml:space="preserve">Hanches (rotation externe), Nuque</t>
  </si>
  <si>
    <t xml:space="preserve">P117</t>
  </si>
  <si>
    <t xml:space="preserve">Viparita Karani</t>
  </si>
  <si>
    <t xml:space="preserve">Jambes au mur</t>
  </si>
  <si>
    <t xml:space="preserve">Legs up the wall</t>
  </si>
  <si>
    <t xml:space="preserve">Relaxation</t>
  </si>
  <si>
    <t xml:space="preserve">Détente, Ischio-jambiers</t>
  </si>
  <si>
    <t xml:space="preserve">Glaucome ; grossesse avancée : pas dos au sol prolongé</t>
  </si>
  <si>
    <t xml:space="preserve">P118</t>
  </si>
  <si>
    <t xml:space="preserve">Paschimottanasana</t>
  </si>
  <si>
    <t xml:space="preserve">Seated forward fold</t>
  </si>
  <si>
    <t xml:space="preserve">Retour au calme</t>
  </si>
  <si>
    <t xml:space="preserve">Étirement de la jambe allongé; Tête au genou</t>
  </si>
  <si>
    <t xml:space="preserve">Table inversée; Planche inversée</t>
  </si>
  <si>
    <t xml:space="preserve">Lombaires, sciatique : genoux fléchis</t>
  </si>
  <si>
    <t xml:space="preserve">P119</t>
  </si>
  <si>
    <t xml:space="preserve">Janu Sirsasana</t>
  </si>
  <si>
    <t xml:space="preserve">Tête au genou</t>
  </si>
  <si>
    <t xml:space="preserve">Head to knee</t>
  </si>
  <si>
    <t xml:space="preserve">Ischio-jambiers, Hanches (rotation externe)</t>
  </si>
  <si>
    <t xml:space="preserve">Étirement de la jambe allongé; Papillon (assis droit)</t>
  </si>
  <si>
    <t xml:space="preserve">P120</t>
  </si>
  <si>
    <t xml:space="preserve">Parivrtta Janu Sirsasana</t>
  </si>
  <si>
    <t xml:space="preserve">Tête au genou en torsion</t>
  </si>
  <si>
    <t xml:space="preserve">Revolved head to knee</t>
  </si>
  <si>
    <t xml:space="preserve">Flancs, Ischio-jambiers, Colonne (rotation)</t>
  </si>
  <si>
    <t xml:space="preserve">Étirement latéral assis; Tête au genou</t>
  </si>
  <si>
    <t xml:space="preserve">P121</t>
  </si>
  <si>
    <t xml:space="preserve">Ardha Baddha Padma Paschimottanasana</t>
  </si>
  <si>
    <t xml:space="preserve">Pince assise en demi-lotus</t>
  </si>
  <si>
    <t xml:space="preserve">Half bound lotus seated fold</t>
  </si>
  <si>
    <t xml:space="preserve">Demi-lotus; Pince assise</t>
  </si>
  <si>
    <t xml:space="preserve">P122</t>
  </si>
  <si>
    <t xml:space="preserve">Triang Mukhaikapada Paschimottanasana</t>
  </si>
  <si>
    <t xml:space="preserve">Pince assise une jambe repliée</t>
  </si>
  <si>
    <t xml:space="preserve">Three-limbed forward fold</t>
  </si>
  <si>
    <t xml:space="preserve">Ischio-jambiers, Quadriceps</t>
  </si>
  <si>
    <t xml:space="preserve">Héros; Pince assise</t>
  </si>
  <si>
    <t xml:space="preserve">P123</t>
  </si>
  <si>
    <t xml:space="preserve">Krounchasana</t>
  </si>
  <si>
    <t xml:space="preserve">Héron</t>
  </si>
  <si>
    <t xml:space="preserve">Heron pose</t>
  </si>
  <si>
    <t xml:space="preserve">Étirement de la jambe allongé; Héros</t>
  </si>
  <si>
    <t xml:space="preserve">P124</t>
  </si>
  <si>
    <t xml:space="preserve">Upavistha Konasana</t>
  </si>
  <si>
    <t xml:space="preserve">Angle assis (jambes écartées)</t>
  </si>
  <si>
    <t xml:space="preserve">Wide-angle seated fold</t>
  </si>
  <si>
    <t xml:space="preserve">Adducteurs, Ischio-jambiers</t>
  </si>
  <si>
    <t xml:space="preserve">Papillon (assis droit); Grand écart facial debout (jambes écartées)</t>
  </si>
  <si>
    <t xml:space="preserve">Grossesse : buste droit ou mains sur coussin</t>
  </si>
  <si>
    <t xml:space="preserve">P125</t>
  </si>
  <si>
    <t xml:space="preserve">Kurmasana</t>
  </si>
  <si>
    <t xml:space="preserve">Tortue</t>
  </si>
  <si>
    <t xml:space="preserve">Tortoise</t>
  </si>
  <si>
    <t xml:space="preserve">Ischio-jambiers, Adducteurs, Hanches (rotation externe), Épaules (ouverture)</t>
  </si>
  <si>
    <t xml:space="preserve">Angle assis (jambes écartées); Pince assise</t>
  </si>
  <si>
    <t xml:space="preserve">P126</t>
  </si>
  <si>
    <t xml:space="preserve">Supta Kurmasana</t>
  </si>
  <si>
    <t xml:space="preserve">Tortue couchée</t>
  </si>
  <si>
    <t xml:space="preserve">Sleeping tortoise</t>
  </si>
  <si>
    <t xml:space="preserve">Ischio-jambiers, Hanches (rotation externe), Épaules (ouverture)</t>
  </si>
  <si>
    <t xml:space="preserve">P127</t>
  </si>
  <si>
    <t xml:space="preserve">Urdhva Mukha Paschimottanasana</t>
  </si>
  <si>
    <t xml:space="preserve">Pince assise inversée</t>
  </si>
  <si>
    <t xml:space="preserve">Upward-facing forward fold</t>
  </si>
  <si>
    <t xml:space="preserve">Ischio-jambiers, Équilibre, Sangle abdominale</t>
  </si>
  <si>
    <t xml:space="preserve">Bateau; Pince assise</t>
  </si>
  <si>
    <t xml:space="preserve">P128</t>
  </si>
  <si>
    <t xml:space="preserve">Ubhaya Padangusthasana</t>
  </si>
  <si>
    <t xml:space="preserve">Équilibre aux deux gros orteils</t>
  </si>
  <si>
    <t xml:space="preserve">Both big toes pose</t>
  </si>
  <si>
    <t xml:space="preserve">P129</t>
  </si>
  <si>
    <t xml:space="preserve">Marichyasana A</t>
  </si>
  <si>
    <t xml:space="preserve">Pose du sage Marichi A</t>
  </si>
  <si>
    <t xml:space="preserve">Marichi A</t>
  </si>
  <si>
    <t xml:space="preserve">Ischio-jambiers, Épaules (ouverture)</t>
  </si>
  <si>
    <t xml:space="preserve">Tête au genou; Pince assise</t>
  </si>
  <si>
    <t xml:space="preserve">P130</t>
  </si>
  <si>
    <t xml:space="preserve">Marichyasana B</t>
  </si>
  <si>
    <t xml:space="preserve">Pose du sage Marichi B</t>
  </si>
  <si>
    <t xml:space="preserve">Marichi B</t>
  </si>
  <si>
    <t xml:space="preserve">Demi-lotus; Pose du sage Marichi A</t>
  </si>
  <si>
    <t xml:space="preserve">P131</t>
  </si>
  <si>
    <t xml:space="preserve">Balasana</t>
  </si>
  <si>
    <t xml:space="preserve">Child's pose</t>
  </si>
  <si>
    <t xml:space="preserve">Détente, Dos (mobilité)</t>
  </si>
  <si>
    <t xml:space="preserve">Genoux ; grossesse : genoux écartés</t>
  </si>
  <si>
    <t xml:space="preserve">P132</t>
  </si>
  <si>
    <t xml:space="preserve">Uttana Shishosana / Anahatasana</t>
  </si>
  <si>
    <t xml:space="preserve">Chiot (cœur fondant)</t>
  </si>
  <si>
    <t xml:space="preserve">Puppy / melting heart</t>
  </si>
  <si>
    <t xml:space="preserve">Épaules (ouverture), Colonne (extension)</t>
  </si>
  <si>
    <t xml:space="preserve">Épaules</t>
  </si>
  <si>
    <t xml:space="preserve">P133</t>
  </si>
  <si>
    <t xml:space="preserve">Baddha Konasana</t>
  </si>
  <si>
    <t xml:space="preserve">Papillon (assis droit)</t>
  </si>
  <si>
    <t xml:space="preserve">Bound angle</t>
  </si>
  <si>
    <t xml:space="preserve">Coussins sous les cuisses</t>
  </si>
  <si>
    <t xml:space="preserve">Hanches (rotation externe), Adducteurs</t>
  </si>
  <si>
    <t xml:space="preserve">P134</t>
  </si>
  <si>
    <t xml:space="preserve">Supta Baddha Konasana</t>
  </si>
  <si>
    <t xml:space="preserve">Papillon allongé</t>
  </si>
  <si>
    <t xml:space="preserve">Reclining bound angle</t>
  </si>
  <si>
    <t xml:space="preserve">Bolster, coussins</t>
  </si>
  <si>
    <t xml:space="preserve">Hanches (rotation externe), Adducteurs, Détente</t>
  </si>
  <si>
    <t xml:space="preserve">Grossesse : buste surélevé sur bolster</t>
  </si>
  <si>
    <t xml:space="preserve">P135</t>
  </si>
  <si>
    <t xml:space="preserve">Eka Pada Rajakapotasana (prép.)</t>
  </si>
  <si>
    <t xml:space="preserve">Pigeon (préparation)</t>
  </si>
  <si>
    <t xml:space="preserve">Pigeon prep</t>
  </si>
  <si>
    <t xml:space="preserve">Coussin sous la hanche</t>
  </si>
  <si>
    <t xml:space="preserve">Hanches (rotation externe), Fessiers, Psoas / fléchisseurs de hanche</t>
  </si>
  <si>
    <t xml:space="preserve">Pigeon allongé (chiffre 4); Fente basse</t>
  </si>
  <si>
    <t xml:space="preserve">Genoux : préférer le pigeon allongé</t>
  </si>
  <si>
    <t xml:space="preserve">P136</t>
  </si>
  <si>
    <t xml:space="preserve">Eka Pada Rajakapotasana</t>
  </si>
  <si>
    <t xml:space="preserve">Roi des pigeons</t>
  </si>
  <si>
    <t xml:space="preserve">King pigeon</t>
  </si>
  <si>
    <t xml:space="preserve">Colonne (extension), Psoas / fléchisseurs de hanche, Quadriceps, Épaules (ouverture), Hanches (rotation externe)</t>
  </si>
  <si>
    <t xml:space="preserve">Fente basse; Pigeon (préparation); Chiot (cœur fondant); Chameau</t>
  </si>
  <si>
    <t xml:space="preserve">Posture de l'enfant; Chien tête en bas</t>
  </si>
  <si>
    <t xml:space="preserve">P137</t>
  </si>
  <si>
    <t xml:space="preserve">Supta Kapotasana</t>
  </si>
  <si>
    <t xml:space="preserve">Pigeon allongé (chiffre 4)</t>
  </si>
  <si>
    <t xml:space="preserve">Reclined pigeon</t>
  </si>
  <si>
    <t xml:space="preserve">Hanches (rotation externe), Fessiers</t>
  </si>
  <si>
    <t xml:space="preserve">P138</t>
  </si>
  <si>
    <t xml:space="preserve">Agnistambhasana</t>
  </si>
  <si>
    <t xml:space="preserve">Bûche (double pigeon)</t>
  </si>
  <si>
    <t xml:space="preserve">Fire log</t>
  </si>
  <si>
    <t xml:space="preserve">Pigeon allongé (chiffre 4); Papillon (assis droit)</t>
  </si>
  <si>
    <t xml:space="preserve">P139</t>
  </si>
  <si>
    <t xml:space="preserve">Gomukhasana</t>
  </si>
  <si>
    <t xml:space="preserve">Tête de vache</t>
  </si>
  <si>
    <t xml:space="preserve">Cow face</t>
  </si>
  <si>
    <t xml:space="preserve">Sangle, coussin</t>
  </si>
  <si>
    <t xml:space="preserve">Hanches (rotation externe), Fessiers, Épaules (ouverture)</t>
  </si>
  <si>
    <t xml:space="preserve">Pigeon allongé (chiffre 4); Aigle</t>
  </si>
  <si>
    <t xml:space="preserve">Genoux, épaules</t>
  </si>
  <si>
    <t xml:space="preserve">P140</t>
  </si>
  <si>
    <t xml:space="preserve">Ananda Balasana</t>
  </si>
  <si>
    <t xml:space="preserve">Bébé heureux</t>
  </si>
  <si>
    <t xml:space="preserve">Happy baby</t>
  </si>
  <si>
    <t xml:space="preserve">Grossesse avancée : non (dos au sol)</t>
  </si>
  <si>
    <t xml:space="preserve">P141</t>
  </si>
  <si>
    <t xml:space="preserve">Mandukasana</t>
  </si>
  <si>
    <t xml:space="preserve">Grenouille</t>
  </si>
  <si>
    <t xml:space="preserve">Frog pose</t>
  </si>
  <si>
    <t xml:space="preserve">Couvertures sous les genoux</t>
  </si>
  <si>
    <t xml:space="preserve">Adducteurs, Hanches (rotation externe)</t>
  </si>
  <si>
    <t xml:space="preserve">Papillon (assis droit); Guirlande (accroupi)</t>
  </si>
  <si>
    <t xml:space="preserve">P142</t>
  </si>
  <si>
    <t xml:space="preserve">Pigeon assis sur chaise (cheville sur genou)</t>
  </si>
  <si>
    <t xml:space="preserve">Chair pigeon</t>
  </si>
  <si>
    <t xml:space="preserve">P143</t>
  </si>
  <si>
    <t xml:space="preserve">Bhujangasana</t>
  </si>
  <si>
    <t xml:space="preserve">Cobra</t>
  </si>
  <si>
    <t xml:space="preserve">Colonne (extension), Sangle abdominale</t>
  </si>
  <si>
    <t xml:space="preserve">P144</t>
  </si>
  <si>
    <t xml:space="preserve">Urdhva Mukha Svanasana</t>
  </si>
  <si>
    <t xml:space="preserve">Chien tête en haut</t>
  </si>
  <si>
    <t xml:space="preserve">Upward dog</t>
  </si>
  <si>
    <t xml:space="preserve">Colonne (extension), Épaules (ouverture), Force des bras, Poignets</t>
  </si>
  <si>
    <t xml:space="preserve">Cobra; Planche</t>
  </si>
  <si>
    <t xml:space="preserve">Lombaires, poignets ; grossesse : non</t>
  </si>
  <si>
    <t xml:space="preserve">P145</t>
  </si>
  <si>
    <t xml:space="preserve">Salamba Bhujangasana</t>
  </si>
  <si>
    <t xml:space="preserve">Sphinx</t>
  </si>
  <si>
    <t xml:space="preserve">Colonne (extension)</t>
  </si>
  <si>
    <t xml:space="preserve">P146</t>
  </si>
  <si>
    <t xml:space="preserve">Salabhasana</t>
  </si>
  <si>
    <t xml:space="preserve">Sauterelle</t>
  </si>
  <si>
    <t xml:space="preserve">Locust</t>
  </si>
  <si>
    <t xml:space="preserve">Colonne (extension), Fessiers</t>
  </si>
  <si>
    <t xml:space="preserve">Cobra; Sphinx</t>
  </si>
  <si>
    <t xml:space="preserve">P147</t>
  </si>
  <si>
    <t xml:space="preserve">Dhanurasana</t>
  </si>
  <si>
    <t xml:space="preserve">Arc</t>
  </si>
  <si>
    <t xml:space="preserve">Bow</t>
  </si>
  <si>
    <t xml:space="preserve">Colonne (extension), Quadriceps, Psoas / fléchisseurs de hanche, Épaules (ouverture)</t>
  </si>
  <si>
    <t xml:space="preserve">Fente basse; Sauterelle; Pont</t>
  </si>
  <si>
    <t xml:space="preserve">Posture de l'enfant; Torsion allongée</t>
  </si>
  <si>
    <t xml:space="preserve">Lombaires, genoux ; grossesse : non</t>
  </si>
  <si>
    <t xml:space="preserve">P148</t>
  </si>
  <si>
    <t xml:space="preserve">Parsva Dhanurasana</t>
  </si>
  <si>
    <t xml:space="preserve">Arc latéral</t>
  </si>
  <si>
    <t xml:space="preserve">Side bow</t>
  </si>
  <si>
    <t xml:space="preserve">Colonne (extension), Quadriceps, Épaules (ouverture)</t>
  </si>
  <si>
    <t xml:space="preserve">P149</t>
  </si>
  <si>
    <t xml:space="preserve">Ustrasana</t>
  </si>
  <si>
    <t xml:space="preserve">Chameau</t>
  </si>
  <si>
    <t xml:space="preserve">Camel</t>
  </si>
  <si>
    <t xml:space="preserve">Colonne (extension), Psoas / fléchisseurs de hanche, Quadriceps, Épaules (ouverture)</t>
  </si>
  <si>
    <t xml:space="preserve">Fente basse; Chiot (cœur fondant); Pont</t>
  </si>
  <si>
    <t xml:space="preserve">Posture de l'enfant; Pince assise</t>
  </si>
  <si>
    <t xml:space="preserve">Cervicales, lombaires ; grossesse : non</t>
  </si>
  <si>
    <t xml:space="preserve">P150</t>
  </si>
  <si>
    <t xml:space="preserve">Laghu Vajrasana</t>
  </si>
  <si>
    <t xml:space="preserve">Petit diamant</t>
  </si>
  <si>
    <t xml:space="preserve">Little thunderbolt</t>
  </si>
  <si>
    <t xml:space="preserve">Colonne (extension), Quadriceps, Psoas / fléchisseurs de hanche, Nuque</t>
  </si>
  <si>
    <t xml:space="preserve">Héros couché; Chameau</t>
  </si>
  <si>
    <t xml:space="preserve">P151</t>
  </si>
  <si>
    <t xml:space="preserve">Kapotasana</t>
  </si>
  <si>
    <t xml:space="preserve">Pigeon (extension complète)</t>
  </si>
  <si>
    <t xml:space="preserve">Pigeon (full backbend)</t>
  </si>
  <si>
    <t xml:space="preserve">Lombaires, cervicales</t>
  </si>
  <si>
    <t xml:space="preserve">P152</t>
  </si>
  <si>
    <t xml:space="preserve">Setu Bandha Sarvangasana</t>
  </si>
  <si>
    <t xml:space="preserve">Pont</t>
  </si>
  <si>
    <t xml:space="preserve">Bridge</t>
  </si>
  <si>
    <t xml:space="preserve">Colonne (extension), Fessiers, Psoas / fléchisseurs de hanche</t>
  </si>
  <si>
    <t xml:space="preserve">Bascule du bassin allongée; Fente basse</t>
  </si>
  <si>
    <t xml:space="preserve">Genoux poitrine; Torsion allongée</t>
  </si>
  <si>
    <t xml:space="preserve">Cervicales : ne pas tourner la tête ; De Gasquet : monter en expirant, périnée engagé</t>
  </si>
  <si>
    <t xml:space="preserve">P153</t>
  </si>
  <si>
    <t xml:space="preserve">Pont soutenu (brique sous le sacrum)</t>
  </si>
  <si>
    <t xml:space="preserve">Supported bridge</t>
  </si>
  <si>
    <t xml:space="preserve">Brique ou bolster</t>
  </si>
  <si>
    <t xml:space="preserve">Psoas / fléchisseurs de hanche, Détente</t>
  </si>
  <si>
    <t xml:space="preserve">P154</t>
  </si>
  <si>
    <t xml:space="preserve">Urdhva Dhanurasana</t>
  </si>
  <si>
    <t xml:space="preserve">Roue</t>
  </si>
  <si>
    <t xml:space="preserve">Wheel</t>
  </si>
  <si>
    <t xml:space="preserve">Colonne (extension), Épaules (ouverture), Poignets, Psoas / fléchisseurs de hanche, Quadriceps, Force des bras</t>
  </si>
  <si>
    <t xml:space="preserve">Fente basse; Chiot (cœur fondant); Pont; Chameau</t>
  </si>
  <si>
    <t xml:space="preserve">Genoux poitrine; Torsion allongée; Pince assise</t>
  </si>
  <si>
    <t xml:space="preserve">Poignets, épaules, lombaires ; grossesse : non</t>
  </si>
  <si>
    <t xml:space="preserve">P155</t>
  </si>
  <si>
    <t xml:space="preserve">Camatkarasana</t>
  </si>
  <si>
    <t xml:space="preserve">Chose sauvage</t>
  </si>
  <si>
    <t xml:space="preserve">Wild thing</t>
  </si>
  <si>
    <t xml:space="preserve">Colonne (extension), Épaules (ouverture), Psoas / fléchisseurs de hanche</t>
  </si>
  <si>
    <t xml:space="preserve">Planche latérale; Pont</t>
  </si>
  <si>
    <t xml:space="preserve">P156</t>
  </si>
  <si>
    <t xml:space="preserve">Matsyasana</t>
  </si>
  <si>
    <t xml:space="preserve">Fish</t>
  </si>
  <si>
    <t xml:space="preserve">Colonne (extension), Épaules (ouverture), Nuque</t>
  </si>
  <si>
    <t xml:space="preserve">Sphinx; Poisson soutenu (bolster)</t>
  </si>
  <si>
    <t xml:space="preserve">P157</t>
  </si>
  <si>
    <t xml:space="preserve">Poisson soutenu (bolster)</t>
  </si>
  <si>
    <t xml:space="preserve">Supported fish</t>
  </si>
  <si>
    <t xml:space="preserve">Bolster, briques</t>
  </si>
  <si>
    <t xml:space="preserve">Épaules (ouverture), Colonne (extension), Détente</t>
  </si>
  <si>
    <t xml:space="preserve">P158</t>
  </si>
  <si>
    <t xml:space="preserve">Supta Virasana</t>
  </si>
  <si>
    <t xml:space="preserve">Héros couché</t>
  </si>
  <si>
    <t xml:space="preserve">Reclining hero</t>
  </si>
  <si>
    <t xml:space="preserve">Bolster</t>
  </si>
  <si>
    <t xml:space="preserve">Quadriceps, Psoas / fléchisseurs de hanche, Chevilles / pieds</t>
  </si>
  <si>
    <t xml:space="preserve">Héros; Fente basse</t>
  </si>
  <si>
    <t xml:space="preserve">Genoux, lombaires</t>
  </si>
  <si>
    <t xml:space="preserve">P159</t>
  </si>
  <si>
    <t xml:space="preserve">Bhekasana</t>
  </si>
  <si>
    <t xml:space="preserve">Grenouille couchée</t>
  </si>
  <si>
    <t xml:space="preserve">Frog (prone)</t>
  </si>
  <si>
    <t xml:space="preserve">Quadriceps, Colonne (extension)</t>
  </si>
  <si>
    <t xml:space="preserve">Sauterelle; Héros couché</t>
  </si>
  <si>
    <t xml:space="preserve">P160</t>
  </si>
  <si>
    <t xml:space="preserve">Uttana Padasana</t>
  </si>
  <si>
    <t xml:space="preserve">Poisson jambes levées</t>
  </si>
  <si>
    <t xml:space="preserve">Extended leg fish</t>
  </si>
  <si>
    <t xml:space="preserve">Colonne (extension), Sangle abdominale, Nuque</t>
  </si>
  <si>
    <t xml:space="preserve">Poisson; Demi-bateau</t>
  </si>
  <si>
    <t xml:space="preserve">P161</t>
  </si>
  <si>
    <t xml:space="preserve">Makarasana</t>
  </si>
  <si>
    <t xml:space="preserve">Crocodile</t>
  </si>
  <si>
    <t xml:space="preserve">Détente</t>
  </si>
  <si>
    <t xml:space="preserve">Grossesse : non (sur le ventre)</t>
  </si>
  <si>
    <t xml:space="preserve">P162</t>
  </si>
  <si>
    <t xml:space="preserve">Ardha Matsyendrasana</t>
  </si>
  <si>
    <t xml:space="preserve">Demi-torsion assise</t>
  </si>
  <si>
    <t xml:space="preserve">Half lord of the fishes</t>
  </si>
  <si>
    <t xml:space="preserve">Colonne (rotation), Hanches (rotation externe)</t>
  </si>
  <si>
    <t xml:space="preserve">Grossesse : torsion ouverte uniquement</t>
  </si>
  <si>
    <t xml:space="preserve">P163</t>
  </si>
  <si>
    <t xml:space="preserve">Bharadvajasana</t>
  </si>
  <si>
    <t xml:space="preserve">Torsion du sage Bharadvaja</t>
  </si>
  <si>
    <t xml:space="preserve">Bharadvaja's twist</t>
  </si>
  <si>
    <t xml:space="preserve">Grossesse : version ouverte</t>
  </si>
  <si>
    <t xml:space="preserve">P164</t>
  </si>
  <si>
    <t xml:space="preserve">Marichyasana C</t>
  </si>
  <si>
    <t xml:space="preserve">Torsion du sage Marichi C</t>
  </si>
  <si>
    <t xml:space="preserve">Marichi C</t>
  </si>
  <si>
    <t xml:space="preserve">P165</t>
  </si>
  <si>
    <t xml:space="preserve">Marichyasana D</t>
  </si>
  <si>
    <t xml:space="preserve">Torsion du sage Marichi D</t>
  </si>
  <si>
    <t xml:space="preserve">Marichi D</t>
  </si>
  <si>
    <t xml:space="preserve">Demi-lotus; Torsion du sage Marichi C</t>
  </si>
  <si>
    <t xml:space="preserve">P166</t>
  </si>
  <si>
    <t xml:space="preserve">Pasasana</t>
  </si>
  <si>
    <t xml:space="preserve">Nœud coulant</t>
  </si>
  <si>
    <t xml:space="preserve">Noose</t>
  </si>
  <si>
    <t xml:space="preserve">Colonne (rotation), Chevilles / pieds, Épaules (ouverture)</t>
  </si>
  <si>
    <t xml:space="preserve">Guirlande (accroupi); Chaise en torsion</t>
  </si>
  <si>
    <t xml:space="preserve">P167</t>
  </si>
  <si>
    <t xml:space="preserve">Supta Matsyendrasana</t>
  </si>
  <si>
    <t xml:space="preserve">Torsion allongée</t>
  </si>
  <si>
    <t xml:space="preserve">Supine twist</t>
  </si>
  <si>
    <t xml:space="preserve">Colonne (rotation), Fessiers, Détente</t>
  </si>
  <si>
    <t xml:space="preserve">P168</t>
  </si>
  <si>
    <t xml:space="preserve">Jathara Parivartanasana</t>
  </si>
  <si>
    <t xml:space="preserve">Torsion abdominale (jambes tendues)</t>
  </si>
  <si>
    <t xml:space="preserve">Revolved abdomen</t>
  </si>
  <si>
    <t xml:space="preserve">Colonne (rotation), Sangle abdominale</t>
  </si>
  <si>
    <t xml:space="preserve">Torsion allongée; Demi-bateau</t>
  </si>
  <si>
    <t xml:space="preserve">P169</t>
  </si>
  <si>
    <t xml:space="preserve">Torsion sur chaise</t>
  </si>
  <si>
    <t xml:space="preserve">Chair twist</t>
  </si>
  <si>
    <t xml:space="preserve">Grossesse : torsion douce, côté ouvert</t>
  </si>
  <si>
    <t xml:space="preserve">P170</t>
  </si>
  <si>
    <t xml:space="preserve">Torsion soutenue (bolster)</t>
  </si>
  <si>
    <t xml:space="preserve">Supported twist</t>
  </si>
  <si>
    <t xml:space="preserve">Colonne (rotation), Détente</t>
  </si>
  <si>
    <t xml:space="preserve">P171</t>
  </si>
  <si>
    <t xml:space="preserve">Parighasana</t>
  </si>
  <si>
    <t xml:space="preserve">Porte</t>
  </si>
  <si>
    <t xml:space="preserve">Gate pose</t>
  </si>
  <si>
    <t xml:space="preserve">Flancs, Adducteurs</t>
  </si>
  <si>
    <t xml:space="preserve">P172</t>
  </si>
  <si>
    <t xml:space="preserve">Apanasana</t>
  </si>
  <si>
    <t xml:space="preserve">Knees to chest</t>
  </si>
  <si>
    <t xml:space="preserve">Dos (mobilité), Détente</t>
  </si>
  <si>
    <t xml:space="preserve">P173</t>
  </si>
  <si>
    <t xml:space="preserve">Posture de l'enfant soutenue</t>
  </si>
  <si>
    <t xml:space="preserve">Supported child's pose</t>
  </si>
  <si>
    <t xml:space="preserve">P174</t>
  </si>
  <si>
    <t xml:space="preserve">Pince assise soutenue</t>
  </si>
  <si>
    <t xml:space="preserve">Supported seated forward fold</t>
  </si>
  <si>
    <t xml:space="preserve">Bolster, chaise</t>
  </si>
  <si>
    <t xml:space="preserve">Ischio-jambiers, Détente</t>
  </si>
  <si>
    <t xml:space="preserve">P175</t>
  </si>
  <si>
    <t xml:space="preserve">Pince sur chaise</t>
  </si>
  <si>
    <t xml:space="preserve">Chair forward fold</t>
  </si>
  <si>
    <t xml:space="preserve">Hypertension : pas tête en bas longtemps</t>
  </si>
  <si>
    <t xml:space="preserve">P176</t>
  </si>
  <si>
    <t xml:space="preserve">Savasana</t>
  </si>
  <si>
    <t xml:space="preserve">Relaxation finale</t>
  </si>
  <si>
    <t xml:space="preserve">Corpse pose</t>
  </si>
  <si>
    <t xml:space="preserve">Coussin sous les genoux</t>
  </si>
  <si>
    <t xml:space="preserve">Lombaires : coussin sous les genoux ; grossesse avancée : sur le côté</t>
  </si>
  <si>
    <t xml:space="preserve">P177</t>
  </si>
  <si>
    <t xml:space="preserve">Relaxation sur le côté</t>
  </si>
  <si>
    <t xml:space="preserve">Side-lying savasana</t>
  </si>
  <si>
    <t xml:space="preserve">Coussins entre les genoux</t>
  </si>
  <si>
    <t xml:space="preserve">P178</t>
  </si>
  <si>
    <t xml:space="preserve">Advasana</t>
  </si>
  <si>
    <t xml:space="preserve">Relaxation sur le ventre</t>
  </si>
  <si>
    <t xml:space="preserve">Prone relaxation</t>
  </si>
  <si>
    <t xml:space="preserve">P179</t>
  </si>
  <si>
    <t xml:space="preserve">Papillon (yin)</t>
  </si>
  <si>
    <t xml:space="preserve">Butterfly</t>
  </si>
  <si>
    <t xml:space="preserve">Hanches (rotation externe), Adducteurs, Dos (mobilité)</t>
  </si>
  <si>
    <t xml:space="preserve">Lombaires, sciatique : dos soutenu</t>
  </si>
  <si>
    <t xml:space="preserve">P180</t>
  </si>
  <si>
    <t xml:space="preserve">Demi-papillon (yin)</t>
  </si>
  <si>
    <t xml:space="preserve">Half butterfly</t>
  </si>
  <si>
    <t xml:space="preserve">P181</t>
  </si>
  <si>
    <t xml:space="preserve">Chenille (yin)</t>
  </si>
  <si>
    <t xml:space="preserve">Caterpillar</t>
  </si>
  <si>
    <t xml:space="preserve">Sciatique, lombaires</t>
  </si>
  <si>
    <t xml:space="preserve">P182</t>
  </si>
  <si>
    <t xml:space="preserve">Dragon (yin)</t>
  </si>
  <si>
    <t xml:space="preserve">Dragon</t>
  </si>
  <si>
    <t xml:space="preserve">Psoas / fléchisseurs de hanche, Hanches (rotation externe)</t>
  </si>
  <si>
    <t xml:space="preserve">P183</t>
  </si>
  <si>
    <t xml:space="preserve">Dragon ailé (yin)</t>
  </si>
  <si>
    <t xml:space="preserve">Winged dragon</t>
  </si>
  <si>
    <t xml:space="preserve">Hanches (rotation externe), Psoas / fléchisseurs de hanche, Adducteurs</t>
  </si>
  <si>
    <t xml:space="preserve">P184</t>
  </si>
  <si>
    <t xml:space="preserve">Grenouille (yin)</t>
  </si>
  <si>
    <t xml:space="preserve">Frog</t>
  </si>
  <si>
    <t xml:space="preserve">Couvertures</t>
  </si>
  <si>
    <t xml:space="preserve">Genoux, aines</t>
  </si>
  <si>
    <t xml:space="preserve">P185</t>
  </si>
  <si>
    <t xml:space="preserve">Selle (yin)</t>
  </si>
  <si>
    <t xml:space="preserve">Saddle</t>
  </si>
  <si>
    <t xml:space="preserve">Quadriceps, Psoas / fléchisseurs de hanche, Colonne (extension)</t>
  </si>
  <si>
    <t xml:space="preserve">Sphinx (yin); Dragon (yin)</t>
  </si>
  <si>
    <t xml:space="preserve">Genoux, lombaires : une jambe à la fois</t>
  </si>
  <si>
    <t xml:space="preserve">P186</t>
  </si>
  <si>
    <t xml:space="preserve">Sphinx (yin)</t>
  </si>
  <si>
    <t xml:space="preserve">P187</t>
  </si>
  <si>
    <t xml:space="preserve">Phoque (yin)</t>
  </si>
  <si>
    <t xml:space="preserve">Seal</t>
  </si>
  <si>
    <t xml:space="preserve">Lombaires</t>
  </si>
  <si>
    <t xml:space="preserve">P188</t>
  </si>
  <si>
    <t xml:space="preserve">Lacet (yin)</t>
  </si>
  <si>
    <t xml:space="preserve">Shoelace</t>
  </si>
  <si>
    <t xml:space="preserve">Cygne (yin)</t>
  </si>
  <si>
    <t xml:space="preserve">P189</t>
  </si>
  <si>
    <t xml:space="preserve">Carré (yin)</t>
  </si>
  <si>
    <t xml:space="preserve">Square</t>
  </si>
  <si>
    <t xml:space="preserve">P190</t>
  </si>
  <si>
    <t xml:space="preserve">Swan</t>
  </si>
  <si>
    <t xml:space="preserve">P191</t>
  </si>
  <si>
    <t xml:space="preserve">Cygne endormi (yin)</t>
  </si>
  <si>
    <t xml:space="preserve">Sleeping swan</t>
  </si>
  <si>
    <t xml:space="preserve">P192</t>
  </si>
  <si>
    <t xml:space="preserve">Escargot (yin)</t>
  </si>
  <si>
    <t xml:space="preserve">Snail</t>
  </si>
  <si>
    <t xml:space="preserve">Dos (mobilité), Nuque, Ischio-jambiers</t>
  </si>
  <si>
    <t xml:space="preserve">Sphinx (yin); Torsion couchée (yin)</t>
  </si>
  <si>
    <t xml:space="preserve">P193</t>
  </si>
  <si>
    <t xml:space="preserve">Suspendu (yin)</t>
  </si>
  <si>
    <t xml:space="preserve">Dangling</t>
  </si>
  <si>
    <t xml:space="preserve">Hypertension ; se relever lentement</t>
  </si>
  <si>
    <t xml:space="preserve">P194</t>
  </si>
  <si>
    <t xml:space="preserve">Orteils (yin)</t>
  </si>
  <si>
    <t xml:space="preserve">Toe squat</t>
  </si>
  <si>
    <t xml:space="preserve">Chevilles / pieds</t>
  </si>
  <si>
    <t xml:space="preserve">P195</t>
  </si>
  <si>
    <t xml:space="preserve">Étirement des chevilles (yin)</t>
  </si>
  <si>
    <t xml:space="preserve">Ankle stretch</t>
  </si>
  <si>
    <t xml:space="preserve">Chevilles / pieds, Quadriceps</t>
  </si>
  <si>
    <t xml:space="preserve">P196</t>
  </si>
  <si>
    <t xml:space="preserve">Banane (yin)</t>
  </si>
  <si>
    <t xml:space="preserve">Bananasana</t>
  </si>
  <si>
    <t xml:space="preserve">P197</t>
  </si>
  <si>
    <t xml:space="preserve">Racines torsadées (yin)</t>
  </si>
  <si>
    <t xml:space="preserve">Twisted roots</t>
  </si>
  <si>
    <t xml:space="preserve">Colonne (rotation), Fessiers</t>
  </si>
  <si>
    <t xml:space="preserve">P198</t>
  </si>
  <si>
    <t xml:space="preserve">Torsion couchée (yin)</t>
  </si>
  <si>
    <t xml:space="preserve">Reclining twist</t>
  </si>
  <si>
    <t xml:space="preserve">P199</t>
  </si>
  <si>
    <t xml:space="preserve">Daim (yin)</t>
  </si>
  <si>
    <t xml:space="preserve">Deer</t>
  </si>
  <si>
    <t xml:space="preserve">Hanches (rotation externe), Colonne (rotation)</t>
  </si>
  <si>
    <t xml:space="preserve">P200</t>
  </si>
  <si>
    <t xml:space="preserve">Libellule (yin)</t>
  </si>
  <si>
    <t xml:space="preserve">Dragonfly</t>
  </si>
  <si>
    <t xml:space="preserve">P201</t>
  </si>
  <si>
    <t xml:space="preserve">Chat qui tire sa queue (yin)</t>
  </si>
  <si>
    <t xml:space="preserve">Cat pulling its tail</t>
  </si>
  <si>
    <t xml:space="preserve">Colonne (rotation), Quadriceps, Psoas / fléchisseurs de hanche</t>
  </si>
  <si>
    <t xml:space="preserve">Torsion couchée (yin); Selle (yin)</t>
  </si>
  <si>
    <t xml:space="preserve">P202</t>
  </si>
  <si>
    <t xml:space="preserve">Accroupi (yin)</t>
  </si>
  <si>
    <t xml:space="preserve">Squat</t>
  </si>
  <si>
    <t xml:space="preserve">P203</t>
  </si>
  <si>
    <t xml:space="preserve">Bébé heureux (yin)</t>
  </si>
  <si>
    <t xml:space="preserve">Structure d'un cours par style</t>
  </si>
  <si>
    <t xml:space="preserve">Durée du cours (min)</t>
  </si>
  <si>
    <t xml:space="preserve">← à modifier</t>
  </si>
  <si>
    <t xml:space="preserve">Part du temps</t>
  </si>
  <si>
    <t xml:space="preserve">Minutes</t>
  </si>
  <si>
    <t xml:space="preserve">Règles de difficulté</t>
  </si>
  <si>
    <t xml:space="preserve">Niveaux autorisés</t>
  </si>
  <si>
    <t xml:space="preserve">Niveau max. du pic</t>
  </si>
  <si>
    <t xml:space="preserve">Débutant</t>
  </si>
  <si>
    <t xml:space="preserve">1</t>
  </si>
  <si>
    <t xml:space="preserve">Intermédiaire</t>
  </si>
  <si>
    <t xml:space="preserve">1 et 2</t>
  </si>
  <si>
    <t xml:space="preserve">Avancé</t>
  </si>
  <si>
    <t xml:space="preserve">1 à 3</t>
  </si>
  <si>
    <t xml:space="preserve">Pourcentages et règles = propositions de départ, à adapter à ta pédagogie et à tes formations.</t>
  </si>
  <si>
    <t xml:space="preserve">Total</t>
  </si>
  <si>
    <t xml:space="preserve">Synthèse de la bibliothèque</t>
  </si>
  <si>
    <t xml:space="preserve">Niveau 1</t>
  </si>
  <si>
    <t xml:space="preserve">Niveau 2</t>
  </si>
  <si>
    <t xml:space="preserve">Niveau 3</t>
  </si>
  <si>
    <t xml:space="preserve">Style</t>
  </si>
  <si>
    <t xml:space="preserve">Familles</t>
  </si>
  <si>
    <t xml:space="preserve">Phases</t>
  </si>
  <si>
    <t xml:space="preserve">Niveaux</t>
  </si>
  <si>
    <t xml:space="preserve">Zones</t>
  </si>
  <si>
    <t xml:space="preserve">Styles</t>
  </si>
  <si>
    <t xml:space="preserve">Psoas / fléchisseurs de hanche</t>
  </si>
  <si>
    <t xml:space="preserve">Quadriceps</t>
  </si>
  <si>
    <t xml:space="preserve">Fessiers</t>
  </si>
  <si>
    <t xml:space="preserve">Adducteurs</t>
  </si>
  <si>
    <t xml:space="preserve">Épaules (ouverture)</t>
  </si>
  <si>
    <t xml:space="preserve">Poignets</t>
  </si>
  <si>
    <t xml:space="preserve">Force des bras</t>
  </si>
  <si>
    <t xml:space="preserve">Force des jambes</t>
  </si>
  <si>
    <t xml:space="preserve">Nuque</t>
  </si>
  <si>
    <t xml:space="preserve">Périnée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</si>
</sst>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B3"/>
        <bgColor rgb="FFFFFF99"/>
      </patternFill>
    </fill>
    <fill>
      <patternFill patternType="solid">
        <fgColor rgb="FF5B6B4F"/>
        <bgColor rgb="FF777777"/>
      </patternFill>
    </fill>
    <fill>
      <patternFill patternType="solid">
        <fgColor rgb="FF8A9A7B"/>
        <bgColor rgb="FF777777"/>
      </patternFill>
    </fill>
    <fill>
      <patternFill patternType="solid">
        <fgColor rgb="FFF4F1E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4C7"/>
      </left>
      <right style="thin">
        <color rgb="FFD9D4C7"/>
      </right>
      <top style="thin">
        <color rgb="FFD9D4C7"/>
      </top>
      <bottom style="thin">
        <color rgb="FFD9D4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5B6B4F"/>
          <bgColor rgb="FF000000"/>
        </patternFill>
      </fill>
    </dxf>
    <dxf>
      <fill>
        <patternFill patternType="solid">
          <fgColor rgb="FFF4F1E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A9A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4C7"/>
      <rgbColor rgb="FF777777"/>
      <rgbColor rgb="FF9999FF"/>
      <rgbColor rgb="FF993366"/>
      <rgbColor rgb="FFFFF2B3"/>
      <rgbColor rgb="FFF4F1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4F"/>
      <rgbColor rgb="FF8A9A7B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26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39.5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26.8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20" min="7" style="0" width="6"/>
    <col collapsed="false" customWidth="true" hidden="false" outlineLevel="0" max="21" min="21" style="0" width="15"/>
    <col collapsed="false" customWidth="true" hidden="false" outlineLevel="0" max="22" min="22" style="0" width="12"/>
    <col collapsed="false" customWidth="true" hidden="false" outlineLevel="0" max="23" min="23" style="0" width="14"/>
    <col collapsed="false" customWidth="true" hidden="false" outlineLevel="0" max="24" min="24" style="0" width="8"/>
    <col collapsed="false" customWidth="true" hidden="false" outlineLevel="0" max="25" min="25" style="0" width="20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50"/>
    <col collapsed="false" customWidth="true" hidden="false" outlineLevel="0" max="30" min="30" style="0" width="28"/>
  </cols>
  <sheetData>
    <row r="1" customFormat="false" ht="120" hidden="false" customHeight="tru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4" t="s">
        <v>32</v>
      </c>
      <c r="V1" s="4" t="s">
        <v>33</v>
      </c>
      <c r="W1" s="4" t="s">
        <v>34</v>
      </c>
      <c r="X1" s="4" t="s">
        <v>35</v>
      </c>
      <c r="Y1" s="4" t="s">
        <v>36</v>
      </c>
      <c r="Z1" s="4" t="s">
        <v>37</v>
      </c>
      <c r="AA1" s="4" t="s">
        <v>38</v>
      </c>
      <c r="AB1" s="4" t="s">
        <v>39</v>
      </c>
      <c r="AC1" s="4" t="s">
        <v>40</v>
      </c>
      <c r="AD1" s="4" t="s">
        <v>41</v>
      </c>
    </row>
    <row r="2" customFormat="false" ht="26.85" hidden="false" customHeight="false" outlineLevel="0" collapsed="false">
      <c r="A2" s="6" t="s">
        <v>42</v>
      </c>
      <c r="B2" s="7" t="s">
        <v>43</v>
      </c>
      <c r="C2" s="7" t="s">
        <v>44</v>
      </c>
      <c r="D2" s="7" t="s">
        <v>45</v>
      </c>
      <c r="E2" s="7" t="s">
        <v>46</v>
      </c>
      <c r="F2" s="6" t="n">
        <v>1</v>
      </c>
      <c r="G2" s="6" t="s">
        <v>47</v>
      </c>
      <c r="H2" s="6" t="s">
        <v>47</v>
      </c>
      <c r="I2" s="6" t="s">
        <v>47</v>
      </c>
      <c r="J2" s="6" t="s">
        <v>47</v>
      </c>
      <c r="K2" s="6" t="s">
        <v>47</v>
      </c>
      <c r="L2" s="6"/>
      <c r="M2" s="6"/>
      <c r="N2" s="6" t="s">
        <v>47</v>
      </c>
      <c r="O2" s="6" t="s">
        <v>47</v>
      </c>
      <c r="P2" s="6" t="s">
        <v>47</v>
      </c>
      <c r="Q2" s="6"/>
      <c r="R2" s="6" t="s">
        <v>47</v>
      </c>
      <c r="S2" s="6" t="s">
        <v>47</v>
      </c>
      <c r="T2" s="6"/>
      <c r="U2" s="7" t="s">
        <v>48</v>
      </c>
      <c r="V2" s="6"/>
      <c r="W2" s="6"/>
      <c r="X2" s="6" t="s">
        <v>49</v>
      </c>
      <c r="Y2" s="7"/>
      <c r="Z2" s="8" t="s">
        <v>46</v>
      </c>
      <c r="AA2" s="8"/>
      <c r="AB2" s="8"/>
      <c r="AC2" s="8" t="s">
        <v>50</v>
      </c>
      <c r="AD2" s="8"/>
    </row>
    <row r="3" customFormat="false" ht="15" hidden="false" customHeight="false" outlineLevel="0" collapsed="false">
      <c r="A3" s="9" t="s">
        <v>51</v>
      </c>
      <c r="B3" s="10" t="s">
        <v>52</v>
      </c>
      <c r="C3" s="10" t="s">
        <v>53</v>
      </c>
      <c r="D3" s="10" t="s">
        <v>54</v>
      </c>
      <c r="E3" s="10" t="s">
        <v>46</v>
      </c>
      <c r="F3" s="9" t="n">
        <v>1</v>
      </c>
      <c r="G3" s="9" t="s">
        <v>47</v>
      </c>
      <c r="H3" s="9" t="s">
        <v>47</v>
      </c>
      <c r="I3" s="9" t="s">
        <v>47</v>
      </c>
      <c r="J3" s="9" t="s">
        <v>47</v>
      </c>
      <c r="K3" s="9"/>
      <c r="L3" s="9"/>
      <c r="M3" s="9"/>
      <c r="N3" s="9"/>
      <c r="O3" s="9"/>
      <c r="P3" s="9"/>
      <c r="Q3" s="9"/>
      <c r="R3" s="9" t="s">
        <v>47</v>
      </c>
      <c r="S3" s="9" t="s">
        <v>47</v>
      </c>
      <c r="T3" s="9" t="s">
        <v>47</v>
      </c>
      <c r="U3" s="10" t="s">
        <v>48</v>
      </c>
      <c r="V3" s="9"/>
      <c r="W3" s="9"/>
      <c r="X3" s="9" t="s">
        <v>49</v>
      </c>
      <c r="Y3" s="10"/>
      <c r="Z3" s="11" t="s">
        <v>46</v>
      </c>
      <c r="AA3" s="11"/>
      <c r="AB3" s="11"/>
      <c r="AC3" s="11"/>
      <c r="AD3" s="11"/>
    </row>
    <row r="4" customFormat="false" ht="26.85" hidden="false" customHeight="false" outlineLevel="0" collapsed="false">
      <c r="A4" s="6" t="s">
        <v>55</v>
      </c>
      <c r="B4" s="7" t="s">
        <v>56</v>
      </c>
      <c r="C4" s="7" t="s">
        <v>57</v>
      </c>
      <c r="D4" s="7" t="s">
        <v>58</v>
      </c>
      <c r="E4" s="7" t="s">
        <v>46</v>
      </c>
      <c r="F4" s="6" t="n">
        <v>2</v>
      </c>
      <c r="G4" s="6" t="s">
        <v>47</v>
      </c>
      <c r="H4" s="6"/>
      <c r="I4" s="6"/>
      <c r="J4" s="6"/>
      <c r="K4" s="6" t="s">
        <v>47</v>
      </c>
      <c r="L4" s="6"/>
      <c r="M4" s="6"/>
      <c r="N4" s="6" t="s">
        <v>47</v>
      </c>
      <c r="O4" s="6"/>
      <c r="P4" s="6"/>
      <c r="Q4" s="6"/>
      <c r="R4" s="6"/>
      <c r="S4" s="6"/>
      <c r="T4" s="6"/>
      <c r="U4" s="7" t="s">
        <v>48</v>
      </c>
      <c r="V4" s="6"/>
      <c r="W4" s="6"/>
      <c r="X4" s="6" t="s">
        <v>49</v>
      </c>
      <c r="Y4" s="7"/>
      <c r="Z4" s="8" t="s">
        <v>46</v>
      </c>
      <c r="AA4" s="8"/>
      <c r="AB4" s="8"/>
      <c r="AC4" s="8" t="s">
        <v>59</v>
      </c>
      <c r="AD4" s="8"/>
    </row>
    <row r="5" customFormat="false" ht="15" hidden="false" customHeight="false" outlineLevel="0" collapsed="false">
      <c r="A5" s="9" t="s">
        <v>60</v>
      </c>
      <c r="B5" s="10" t="s">
        <v>61</v>
      </c>
      <c r="C5" s="10" t="s">
        <v>62</v>
      </c>
      <c r="D5" s="10" t="s">
        <v>63</v>
      </c>
      <c r="E5" s="10" t="s">
        <v>46</v>
      </c>
      <c r="F5" s="9" t="n">
        <v>3</v>
      </c>
      <c r="G5" s="9" t="s">
        <v>47</v>
      </c>
      <c r="H5" s="9"/>
      <c r="I5" s="9"/>
      <c r="J5" s="9"/>
      <c r="K5" s="9" t="s">
        <v>47</v>
      </c>
      <c r="L5" s="9"/>
      <c r="M5" s="9"/>
      <c r="N5" s="9" t="s">
        <v>47</v>
      </c>
      <c r="O5" s="9"/>
      <c r="P5" s="9"/>
      <c r="Q5" s="9"/>
      <c r="R5" s="9"/>
      <c r="S5" s="9"/>
      <c r="T5" s="9"/>
      <c r="U5" s="10" t="s">
        <v>48</v>
      </c>
      <c r="V5" s="9"/>
      <c r="W5" s="9"/>
      <c r="X5" s="9" t="s">
        <v>49</v>
      </c>
      <c r="Y5" s="10"/>
      <c r="Z5" s="11" t="s">
        <v>46</v>
      </c>
      <c r="AA5" s="11"/>
      <c r="AB5" s="11"/>
      <c r="AC5" s="11" t="s">
        <v>64</v>
      </c>
      <c r="AD5" s="11"/>
    </row>
    <row r="6" customFormat="false" ht="15" hidden="false" customHeight="false" outlineLevel="0" collapsed="false">
      <c r="A6" s="6" t="s">
        <v>65</v>
      </c>
      <c r="B6" s="7" t="s">
        <v>66</v>
      </c>
      <c r="C6" s="7" t="s">
        <v>67</v>
      </c>
      <c r="D6" s="7" t="s">
        <v>68</v>
      </c>
      <c r="E6" s="7" t="s">
        <v>46</v>
      </c>
      <c r="F6" s="6" t="n">
        <v>1</v>
      </c>
      <c r="G6" s="6" t="s">
        <v>47</v>
      </c>
      <c r="H6" s="6"/>
      <c r="I6" s="6"/>
      <c r="J6" s="6" t="s">
        <v>47</v>
      </c>
      <c r="K6" s="6" t="s">
        <v>47</v>
      </c>
      <c r="L6" s="6"/>
      <c r="M6" s="6"/>
      <c r="N6" s="6"/>
      <c r="O6" s="6" t="s">
        <v>47</v>
      </c>
      <c r="P6" s="6" t="s">
        <v>47</v>
      </c>
      <c r="Q6" s="6" t="s">
        <v>47</v>
      </c>
      <c r="R6" s="6" t="s">
        <v>47</v>
      </c>
      <c r="S6" s="6" t="s">
        <v>47</v>
      </c>
      <c r="T6" s="6"/>
      <c r="U6" s="7" t="s">
        <v>48</v>
      </c>
      <c r="V6" s="6"/>
      <c r="W6" s="6"/>
      <c r="X6" s="6" t="s">
        <v>49</v>
      </c>
      <c r="Y6" s="7"/>
      <c r="Z6" s="8" t="s">
        <v>46</v>
      </c>
      <c r="AA6" s="8"/>
      <c r="AB6" s="8"/>
      <c r="AC6" s="8"/>
      <c r="AD6" s="8"/>
    </row>
    <row r="7" customFormat="false" ht="15" hidden="false" customHeight="false" outlineLevel="0" collapsed="false">
      <c r="A7" s="9" t="s">
        <v>69</v>
      </c>
      <c r="B7" s="10" t="s">
        <v>70</v>
      </c>
      <c r="C7" s="10" t="s">
        <v>71</v>
      </c>
      <c r="D7" s="10" t="s">
        <v>72</v>
      </c>
      <c r="E7" s="10" t="s">
        <v>46</v>
      </c>
      <c r="F7" s="9" t="n">
        <v>1</v>
      </c>
      <c r="G7" s="9" t="s">
        <v>47</v>
      </c>
      <c r="H7" s="9"/>
      <c r="I7" s="9"/>
      <c r="J7" s="9"/>
      <c r="K7" s="9" t="s">
        <v>47</v>
      </c>
      <c r="L7" s="9"/>
      <c r="M7" s="9"/>
      <c r="N7" s="9"/>
      <c r="O7" s="9"/>
      <c r="P7" s="9"/>
      <c r="Q7" s="9"/>
      <c r="R7" s="9" t="s">
        <v>47</v>
      </c>
      <c r="S7" s="9"/>
      <c r="T7" s="9"/>
      <c r="U7" s="10" t="s">
        <v>48</v>
      </c>
      <c r="V7" s="9"/>
      <c r="W7" s="9"/>
      <c r="X7" s="9" t="s">
        <v>49</v>
      </c>
      <c r="Y7" s="10"/>
      <c r="Z7" s="11" t="s">
        <v>46</v>
      </c>
      <c r="AA7" s="11"/>
      <c r="AB7" s="11"/>
      <c r="AC7" s="11"/>
      <c r="AD7" s="11"/>
    </row>
    <row r="8" customFormat="false" ht="15" hidden="false" customHeight="false" outlineLevel="0" collapsed="false">
      <c r="A8" s="6" t="s">
        <v>73</v>
      </c>
      <c r="B8" s="7" t="s">
        <v>74</v>
      </c>
      <c r="C8" s="7" t="s">
        <v>75</v>
      </c>
      <c r="D8" s="7" t="s">
        <v>76</v>
      </c>
      <c r="E8" s="7" t="s">
        <v>46</v>
      </c>
      <c r="F8" s="6" t="n">
        <v>2</v>
      </c>
      <c r="G8" s="6" t="s">
        <v>47</v>
      </c>
      <c r="H8" s="6"/>
      <c r="I8" s="6"/>
      <c r="J8" s="6" t="s">
        <v>47</v>
      </c>
      <c r="K8" s="6"/>
      <c r="L8" s="6"/>
      <c r="M8" s="6"/>
      <c r="N8" s="6"/>
      <c r="O8" s="6"/>
      <c r="P8" s="6"/>
      <c r="Q8" s="6"/>
      <c r="R8" s="6"/>
      <c r="S8" s="6"/>
      <c r="T8" s="6"/>
      <c r="U8" s="7" t="s">
        <v>48</v>
      </c>
      <c r="V8" s="6"/>
      <c r="W8" s="6"/>
      <c r="X8" s="6" t="s">
        <v>49</v>
      </c>
      <c r="Y8" s="7"/>
      <c r="Z8" s="8" t="s">
        <v>46</v>
      </c>
      <c r="AA8" s="8"/>
      <c r="AB8" s="8"/>
      <c r="AC8" s="8"/>
      <c r="AD8" s="8"/>
    </row>
    <row r="9" customFormat="false" ht="15" hidden="false" customHeight="false" outlineLevel="0" collapsed="false">
      <c r="A9" s="9" t="s">
        <v>77</v>
      </c>
      <c r="B9" s="10" t="s">
        <v>78</v>
      </c>
      <c r="C9" s="10" t="s">
        <v>79</v>
      </c>
      <c r="D9" s="10" t="s">
        <v>80</v>
      </c>
      <c r="E9" s="10" t="s">
        <v>46</v>
      </c>
      <c r="F9" s="9" t="n">
        <v>1</v>
      </c>
      <c r="G9" s="9" t="s">
        <v>47</v>
      </c>
      <c r="H9" s="9" t="s">
        <v>47</v>
      </c>
      <c r="I9" s="9"/>
      <c r="J9" s="9"/>
      <c r="K9" s="9"/>
      <c r="L9" s="9"/>
      <c r="M9" s="9"/>
      <c r="N9" s="9"/>
      <c r="O9" s="9"/>
      <c r="P9" s="9"/>
      <c r="Q9" s="9"/>
      <c r="R9" s="9" t="s">
        <v>47</v>
      </c>
      <c r="S9" s="9" t="s">
        <v>47</v>
      </c>
      <c r="T9" s="9"/>
      <c r="U9" s="10" t="s">
        <v>48</v>
      </c>
      <c r="V9" s="9"/>
      <c r="W9" s="9"/>
      <c r="X9" s="9" t="s">
        <v>49</v>
      </c>
      <c r="Y9" s="10"/>
      <c r="Z9" s="11" t="s">
        <v>46</v>
      </c>
      <c r="AA9" s="11"/>
      <c r="AB9" s="11"/>
      <c r="AC9" s="11" t="s">
        <v>81</v>
      </c>
      <c r="AD9" s="11"/>
    </row>
    <row r="10" customFormat="false" ht="15" hidden="false" customHeight="false" outlineLevel="0" collapsed="false">
      <c r="A10" s="6" t="s">
        <v>82</v>
      </c>
      <c r="B10" s="7" t="s">
        <v>83</v>
      </c>
      <c r="C10" s="7" t="s">
        <v>84</v>
      </c>
      <c r="D10" s="7" t="s">
        <v>85</v>
      </c>
      <c r="E10" s="7" t="s">
        <v>46</v>
      </c>
      <c r="F10" s="6" t="n">
        <v>1</v>
      </c>
      <c r="G10" s="6" t="s">
        <v>47</v>
      </c>
      <c r="H10" s="6" t="s">
        <v>47</v>
      </c>
      <c r="I10" s="6"/>
      <c r="J10" s="6" t="s">
        <v>47</v>
      </c>
      <c r="K10" s="6" t="s">
        <v>47</v>
      </c>
      <c r="L10" s="6"/>
      <c r="M10" s="6"/>
      <c r="N10" s="6"/>
      <c r="O10" s="6" t="s">
        <v>47</v>
      </c>
      <c r="P10" s="6" t="s">
        <v>47</v>
      </c>
      <c r="Q10" s="6" t="s">
        <v>47</v>
      </c>
      <c r="R10" s="6" t="s">
        <v>47</v>
      </c>
      <c r="S10" s="6" t="s">
        <v>47</v>
      </c>
      <c r="T10" s="6"/>
      <c r="U10" s="7" t="s">
        <v>48</v>
      </c>
      <c r="V10" s="6"/>
      <c r="W10" s="6"/>
      <c r="X10" s="6" t="s">
        <v>49</v>
      </c>
      <c r="Y10" s="7"/>
      <c r="Z10" s="8" t="s">
        <v>46</v>
      </c>
      <c r="AA10" s="8"/>
      <c r="AB10" s="8"/>
      <c r="AC10" s="8"/>
      <c r="AD10" s="8"/>
    </row>
    <row r="11" customFormat="false" ht="15" hidden="false" customHeight="false" outlineLevel="0" collapsed="false">
      <c r="A11" s="9" t="s">
        <v>86</v>
      </c>
      <c r="B11" s="10" t="s">
        <v>83</v>
      </c>
      <c r="C11" s="10" t="s">
        <v>87</v>
      </c>
      <c r="D11" s="10" t="s">
        <v>88</v>
      </c>
      <c r="E11" s="10" t="s">
        <v>46</v>
      </c>
      <c r="F11" s="9" t="n">
        <v>1</v>
      </c>
      <c r="G11" s="9" t="s">
        <v>47</v>
      </c>
      <c r="H11" s="9"/>
      <c r="I11" s="9"/>
      <c r="J11" s="9"/>
      <c r="K11" s="9"/>
      <c r="L11" s="9"/>
      <c r="M11" s="9"/>
      <c r="N11" s="9"/>
      <c r="O11" s="9"/>
      <c r="P11" s="9" t="s">
        <v>47</v>
      </c>
      <c r="Q11" s="9" t="s">
        <v>47</v>
      </c>
      <c r="R11" s="9" t="s">
        <v>47</v>
      </c>
      <c r="S11" s="9" t="s">
        <v>47</v>
      </c>
      <c r="T11" s="9"/>
      <c r="U11" s="10" t="s">
        <v>48</v>
      </c>
      <c r="V11" s="9"/>
      <c r="W11" s="9"/>
      <c r="X11" s="9" t="s">
        <v>49</v>
      </c>
      <c r="Y11" s="10"/>
      <c r="Z11" s="11" t="s">
        <v>46</v>
      </c>
      <c r="AA11" s="11"/>
      <c r="AB11" s="11"/>
      <c r="AC11" s="11"/>
      <c r="AD11" s="11"/>
    </row>
    <row r="12" customFormat="false" ht="26.85" hidden="false" customHeight="false" outlineLevel="0" collapsed="false">
      <c r="A12" s="6" t="s">
        <v>89</v>
      </c>
      <c r="B12" s="7" t="s">
        <v>83</v>
      </c>
      <c r="C12" s="7" t="s">
        <v>90</v>
      </c>
      <c r="D12" s="7" t="s">
        <v>91</v>
      </c>
      <c r="E12" s="7" t="s">
        <v>46</v>
      </c>
      <c r="F12" s="6" t="n">
        <v>1</v>
      </c>
      <c r="G12" s="6"/>
      <c r="H12" s="6"/>
      <c r="I12" s="6"/>
      <c r="J12" s="6"/>
      <c r="K12" s="6"/>
      <c r="L12" s="6"/>
      <c r="M12" s="6"/>
      <c r="N12" s="6"/>
      <c r="O12" s="6" t="s">
        <v>47</v>
      </c>
      <c r="P12" s="6" t="s">
        <v>47</v>
      </c>
      <c r="Q12" s="6" t="s">
        <v>47</v>
      </c>
      <c r="R12" s="6"/>
      <c r="S12" s="6" t="s">
        <v>47</v>
      </c>
      <c r="T12" s="6"/>
      <c r="U12" s="7" t="s">
        <v>48</v>
      </c>
      <c r="V12" s="6"/>
      <c r="W12" s="6"/>
      <c r="X12" s="6" t="s">
        <v>49</v>
      </c>
      <c r="Y12" s="7"/>
      <c r="Z12" s="8" t="s">
        <v>92</v>
      </c>
      <c r="AA12" s="8"/>
      <c r="AB12" s="8"/>
      <c r="AC12" s="8" t="s">
        <v>93</v>
      </c>
      <c r="AD12" s="8"/>
    </row>
    <row r="13" customFormat="false" ht="15" hidden="false" customHeight="false" outlineLevel="0" collapsed="false">
      <c r="A13" s="9" t="s">
        <v>94</v>
      </c>
      <c r="B13" s="10" t="s">
        <v>95</v>
      </c>
      <c r="C13" s="10" t="s">
        <v>96</v>
      </c>
      <c r="D13" s="10" t="s">
        <v>97</v>
      </c>
      <c r="E13" s="10" t="s">
        <v>46</v>
      </c>
      <c r="F13" s="9" t="n">
        <v>2</v>
      </c>
      <c r="G13" s="9"/>
      <c r="H13" s="9"/>
      <c r="I13" s="9"/>
      <c r="J13" s="9"/>
      <c r="K13" s="9"/>
      <c r="L13" s="9"/>
      <c r="M13" s="9"/>
      <c r="N13" s="9" t="s">
        <v>47</v>
      </c>
      <c r="O13" s="9"/>
      <c r="P13" s="9"/>
      <c r="Q13" s="9"/>
      <c r="R13" s="9"/>
      <c r="S13" s="9"/>
      <c r="T13" s="9"/>
      <c r="U13" s="10" t="s">
        <v>48</v>
      </c>
      <c r="V13" s="9"/>
      <c r="W13" s="9"/>
      <c r="X13" s="9" t="s">
        <v>49</v>
      </c>
      <c r="Y13" s="10"/>
      <c r="Z13" s="11" t="s">
        <v>46</v>
      </c>
      <c r="AA13" s="11"/>
      <c r="AB13" s="11"/>
      <c r="AC13" s="11" t="s">
        <v>98</v>
      </c>
      <c r="AD13" s="11"/>
    </row>
    <row r="14" customFormat="false" ht="26.85" hidden="false" customHeight="false" outlineLevel="0" collapsed="false">
      <c r="A14" s="6" t="s">
        <v>99</v>
      </c>
      <c r="B14" s="7" t="s">
        <v>100</v>
      </c>
      <c r="C14" s="7" t="s">
        <v>101</v>
      </c>
      <c r="D14" s="7" t="s">
        <v>102</v>
      </c>
      <c r="E14" s="7" t="s">
        <v>103</v>
      </c>
      <c r="F14" s="6" t="n">
        <v>1</v>
      </c>
      <c r="G14" s="6" t="s">
        <v>47</v>
      </c>
      <c r="H14" s="6" t="s">
        <v>47</v>
      </c>
      <c r="I14" s="6" t="s">
        <v>47</v>
      </c>
      <c r="J14" s="6" t="s">
        <v>47</v>
      </c>
      <c r="K14" s="6" t="s">
        <v>47</v>
      </c>
      <c r="L14" s="6"/>
      <c r="M14" s="6"/>
      <c r="N14" s="6" t="s">
        <v>47</v>
      </c>
      <c r="O14" s="6" t="s">
        <v>47</v>
      </c>
      <c r="P14" s="6" t="s">
        <v>47</v>
      </c>
      <c r="Q14" s="6" t="s">
        <v>47</v>
      </c>
      <c r="R14" s="6" t="s">
        <v>47</v>
      </c>
      <c r="S14" s="6" t="s">
        <v>47</v>
      </c>
      <c r="T14" s="6"/>
      <c r="U14" s="7" t="s">
        <v>48</v>
      </c>
      <c r="V14" s="6" t="n">
        <v>10</v>
      </c>
      <c r="W14" s="6"/>
      <c r="X14" s="6" t="s">
        <v>49</v>
      </c>
      <c r="Y14" s="7" t="s">
        <v>104</v>
      </c>
      <c r="Z14" s="8" t="s">
        <v>105</v>
      </c>
      <c r="AA14" s="8"/>
      <c r="AB14" s="8"/>
      <c r="AC14" s="8" t="s">
        <v>106</v>
      </c>
      <c r="AD14" s="8"/>
    </row>
    <row r="15" customFormat="false" ht="26.85" hidden="false" customHeight="false" outlineLevel="0" collapsed="false">
      <c r="A15" s="9" t="s">
        <v>107</v>
      </c>
      <c r="B15" s="10" t="s">
        <v>83</v>
      </c>
      <c r="C15" s="10" t="s">
        <v>108</v>
      </c>
      <c r="D15" s="10" t="s">
        <v>109</v>
      </c>
      <c r="E15" s="10" t="s">
        <v>103</v>
      </c>
      <c r="F15" s="9" t="n">
        <v>1</v>
      </c>
      <c r="G15" s="9"/>
      <c r="H15" s="9"/>
      <c r="I15" s="9"/>
      <c r="J15" s="9"/>
      <c r="K15" s="9"/>
      <c r="L15" s="9"/>
      <c r="M15" s="9"/>
      <c r="N15" s="9"/>
      <c r="O15" s="9" t="s">
        <v>47</v>
      </c>
      <c r="P15" s="9" t="s">
        <v>47</v>
      </c>
      <c r="Q15" s="9" t="s">
        <v>47</v>
      </c>
      <c r="R15" s="9"/>
      <c r="S15" s="9"/>
      <c r="T15" s="9"/>
      <c r="U15" s="10" t="s">
        <v>48</v>
      </c>
      <c r="V15" s="9" t="n">
        <v>10</v>
      </c>
      <c r="W15" s="9"/>
      <c r="X15" s="9" t="s">
        <v>49</v>
      </c>
      <c r="Y15" s="10" t="s">
        <v>110</v>
      </c>
      <c r="Z15" s="11" t="s">
        <v>111</v>
      </c>
      <c r="AA15" s="11"/>
      <c r="AB15" s="11"/>
      <c r="AC15" s="11" t="s">
        <v>112</v>
      </c>
      <c r="AD15" s="11"/>
    </row>
    <row r="16" customFormat="false" ht="26.85" hidden="false" customHeight="false" outlineLevel="0" collapsed="false">
      <c r="A16" s="6" t="s">
        <v>113</v>
      </c>
      <c r="B16" s="7" t="s">
        <v>114</v>
      </c>
      <c r="C16" s="7" t="s">
        <v>115</v>
      </c>
      <c r="D16" s="7" t="s">
        <v>116</v>
      </c>
      <c r="E16" s="7" t="s">
        <v>103</v>
      </c>
      <c r="F16" s="6" t="n">
        <v>2</v>
      </c>
      <c r="G16" s="6" t="s">
        <v>47</v>
      </c>
      <c r="H16" s="6"/>
      <c r="I16" s="6"/>
      <c r="J16" s="6"/>
      <c r="K16" s="6" t="s">
        <v>47</v>
      </c>
      <c r="L16" s="6"/>
      <c r="M16" s="6"/>
      <c r="N16" s="6" t="s">
        <v>47</v>
      </c>
      <c r="O16" s="6"/>
      <c r="P16" s="6"/>
      <c r="Q16" s="6"/>
      <c r="R16" s="6"/>
      <c r="S16" s="6"/>
      <c r="T16" s="6"/>
      <c r="U16" s="7" t="s">
        <v>48</v>
      </c>
      <c r="V16" s="6" t="n">
        <v>10</v>
      </c>
      <c r="W16" s="6"/>
      <c r="X16" s="6" t="s">
        <v>49</v>
      </c>
      <c r="Y16" s="7" t="s">
        <v>104</v>
      </c>
      <c r="Z16" s="8" t="s">
        <v>117</v>
      </c>
      <c r="AA16" s="8" t="s">
        <v>118</v>
      </c>
      <c r="AB16" s="8"/>
      <c r="AC16" s="8" t="s">
        <v>119</v>
      </c>
      <c r="AD16" s="8"/>
    </row>
    <row r="17" customFormat="false" ht="26.85" hidden="false" customHeight="false" outlineLevel="0" collapsed="false">
      <c r="A17" s="9" t="s">
        <v>120</v>
      </c>
      <c r="B17" s="10" t="s">
        <v>121</v>
      </c>
      <c r="C17" s="10" t="s">
        <v>122</v>
      </c>
      <c r="D17" s="10" t="s">
        <v>123</v>
      </c>
      <c r="E17" s="10" t="s">
        <v>103</v>
      </c>
      <c r="F17" s="9" t="n">
        <v>2</v>
      </c>
      <c r="G17" s="9" t="s">
        <v>47</v>
      </c>
      <c r="H17" s="9"/>
      <c r="I17" s="9" t="s">
        <v>47</v>
      </c>
      <c r="J17" s="9" t="s">
        <v>47</v>
      </c>
      <c r="K17" s="9" t="s">
        <v>47</v>
      </c>
      <c r="L17" s="9"/>
      <c r="M17" s="9"/>
      <c r="N17" s="9"/>
      <c r="O17" s="9"/>
      <c r="P17" s="9"/>
      <c r="Q17" s="9"/>
      <c r="R17" s="9"/>
      <c r="S17" s="9"/>
      <c r="T17" s="9"/>
      <c r="U17" s="10" t="s">
        <v>48</v>
      </c>
      <c r="V17" s="9" t="n">
        <v>10</v>
      </c>
      <c r="W17" s="9"/>
      <c r="X17" s="9" t="s">
        <v>124</v>
      </c>
      <c r="Y17" s="10" t="s">
        <v>104</v>
      </c>
      <c r="Z17" s="11" t="s">
        <v>125</v>
      </c>
      <c r="AA17" s="11" t="s">
        <v>126</v>
      </c>
      <c r="AB17" s="11"/>
      <c r="AC17" s="11" t="s">
        <v>127</v>
      </c>
      <c r="AD17" s="11"/>
    </row>
    <row r="18" customFormat="false" ht="26.85" hidden="false" customHeight="false" outlineLevel="0" collapsed="false">
      <c r="A18" s="6" t="s">
        <v>128</v>
      </c>
      <c r="B18" s="7" t="s">
        <v>129</v>
      </c>
      <c r="C18" s="7" t="s">
        <v>130</v>
      </c>
      <c r="D18" s="7" t="s">
        <v>130</v>
      </c>
      <c r="E18" s="7" t="s">
        <v>103</v>
      </c>
      <c r="F18" s="6" t="n">
        <v>3</v>
      </c>
      <c r="G18" s="6" t="s">
        <v>47</v>
      </c>
      <c r="H18" s="6"/>
      <c r="I18" s="6" t="s">
        <v>47</v>
      </c>
      <c r="J18" s="6" t="s">
        <v>47</v>
      </c>
      <c r="K18" s="6" t="s">
        <v>47</v>
      </c>
      <c r="L18" s="6"/>
      <c r="M18" s="6"/>
      <c r="N18" s="6"/>
      <c r="O18" s="6"/>
      <c r="P18" s="6"/>
      <c r="Q18" s="6"/>
      <c r="R18" s="6"/>
      <c r="S18" s="6"/>
      <c r="T18" s="6"/>
      <c r="U18" s="7" t="s">
        <v>48</v>
      </c>
      <c r="V18" s="6" t="n">
        <v>10</v>
      </c>
      <c r="W18" s="6"/>
      <c r="X18" s="6" t="s">
        <v>49</v>
      </c>
      <c r="Y18" s="7"/>
      <c r="Z18" s="8" t="s">
        <v>125</v>
      </c>
      <c r="AA18" s="8" t="s">
        <v>131</v>
      </c>
      <c r="AB18" s="8"/>
      <c r="AC18" s="8" t="s">
        <v>132</v>
      </c>
      <c r="AD18" s="8"/>
    </row>
    <row r="19" customFormat="false" ht="15" hidden="false" customHeight="false" outlineLevel="0" collapsed="false">
      <c r="A19" s="9" t="s">
        <v>133</v>
      </c>
      <c r="B19" s="10" t="s">
        <v>134</v>
      </c>
      <c r="C19" s="10" t="s">
        <v>135</v>
      </c>
      <c r="D19" s="10" t="s">
        <v>136</v>
      </c>
      <c r="E19" s="10" t="s">
        <v>103</v>
      </c>
      <c r="F19" s="9" t="n">
        <v>1</v>
      </c>
      <c r="G19" s="9" t="s">
        <v>47</v>
      </c>
      <c r="H19" s="9"/>
      <c r="I19" s="9"/>
      <c r="J19" s="9" t="s">
        <v>47</v>
      </c>
      <c r="K19" s="9" t="s">
        <v>47</v>
      </c>
      <c r="L19" s="9"/>
      <c r="M19" s="9"/>
      <c r="N19" s="9" t="s">
        <v>47</v>
      </c>
      <c r="O19" s="9" t="s">
        <v>47</v>
      </c>
      <c r="P19" s="9" t="s">
        <v>47</v>
      </c>
      <c r="Q19" s="9" t="s">
        <v>47</v>
      </c>
      <c r="R19" s="9"/>
      <c r="S19" s="9" t="s">
        <v>47</v>
      </c>
      <c r="T19" s="9"/>
      <c r="U19" s="10" t="s">
        <v>48</v>
      </c>
      <c r="V19" s="9" t="n">
        <v>10</v>
      </c>
      <c r="W19" s="9"/>
      <c r="X19" s="9" t="s">
        <v>49</v>
      </c>
      <c r="Y19" s="10" t="s">
        <v>104</v>
      </c>
      <c r="Z19" s="11" t="s">
        <v>137</v>
      </c>
      <c r="AA19" s="11"/>
      <c r="AB19" s="11"/>
      <c r="AC19" s="11" t="s">
        <v>138</v>
      </c>
      <c r="AD19" s="11"/>
    </row>
    <row r="20" customFormat="false" ht="26.85" hidden="false" customHeight="false" outlineLevel="0" collapsed="false">
      <c r="A20" s="6" t="s">
        <v>139</v>
      </c>
      <c r="B20" s="7" t="s">
        <v>140</v>
      </c>
      <c r="C20" s="7" t="s">
        <v>141</v>
      </c>
      <c r="D20" s="7" t="s">
        <v>142</v>
      </c>
      <c r="E20" s="7" t="s">
        <v>103</v>
      </c>
      <c r="F20" s="6" t="n">
        <v>2</v>
      </c>
      <c r="G20" s="6" t="s">
        <v>47</v>
      </c>
      <c r="H20" s="6"/>
      <c r="I20" s="6"/>
      <c r="J20" s="6" t="s">
        <v>47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7" t="s">
        <v>48</v>
      </c>
      <c r="V20" s="6" t="n">
        <v>10</v>
      </c>
      <c r="W20" s="6"/>
      <c r="X20" s="6" t="s">
        <v>49</v>
      </c>
      <c r="Y20" s="7" t="s">
        <v>143</v>
      </c>
      <c r="Z20" s="8" t="s">
        <v>137</v>
      </c>
      <c r="AA20" s="8" t="s">
        <v>144</v>
      </c>
      <c r="AB20" s="8"/>
      <c r="AC20" s="8" t="s">
        <v>145</v>
      </c>
      <c r="AD20" s="8"/>
    </row>
    <row r="21" customFormat="false" ht="26.85" hidden="false" customHeight="false" outlineLevel="0" collapsed="false">
      <c r="A21" s="9" t="s">
        <v>146</v>
      </c>
      <c r="B21" s="10" t="s">
        <v>147</v>
      </c>
      <c r="C21" s="10" t="s">
        <v>148</v>
      </c>
      <c r="D21" s="10" t="s">
        <v>149</v>
      </c>
      <c r="E21" s="10" t="s">
        <v>103</v>
      </c>
      <c r="F21" s="9" t="n">
        <v>1</v>
      </c>
      <c r="G21" s="9" t="s">
        <v>47</v>
      </c>
      <c r="H21" s="9"/>
      <c r="I21" s="9" t="s">
        <v>47</v>
      </c>
      <c r="J21" s="9" t="s">
        <v>47</v>
      </c>
      <c r="K21" s="9" t="s">
        <v>47</v>
      </c>
      <c r="L21" s="9"/>
      <c r="M21" s="9"/>
      <c r="N21" s="9"/>
      <c r="O21" s="9" t="s">
        <v>47</v>
      </c>
      <c r="P21" s="9"/>
      <c r="Q21" s="9"/>
      <c r="R21" s="9"/>
      <c r="S21" s="9" t="s">
        <v>47</v>
      </c>
      <c r="T21" s="9"/>
      <c r="U21" s="10" t="s">
        <v>150</v>
      </c>
      <c r="V21" s="9" t="n">
        <v>5</v>
      </c>
      <c r="W21" s="9"/>
      <c r="X21" s="9" t="s">
        <v>49</v>
      </c>
      <c r="Y21" s="10" t="s">
        <v>151</v>
      </c>
      <c r="Z21" s="11" t="s">
        <v>152</v>
      </c>
      <c r="AA21" s="11"/>
      <c r="AB21" s="11"/>
      <c r="AC21" s="11"/>
      <c r="AD21" s="11"/>
    </row>
    <row r="22" customFormat="false" ht="15" hidden="false" customHeight="false" outlineLevel="0" collapsed="false">
      <c r="A22" s="6" t="s">
        <v>153</v>
      </c>
      <c r="B22" s="7" t="s">
        <v>83</v>
      </c>
      <c r="C22" s="7" t="s">
        <v>154</v>
      </c>
      <c r="D22" s="7" t="s">
        <v>155</v>
      </c>
      <c r="E22" s="7" t="s">
        <v>103</v>
      </c>
      <c r="F22" s="6" t="n">
        <v>1</v>
      </c>
      <c r="G22" s="6"/>
      <c r="H22" s="6"/>
      <c r="I22" s="6"/>
      <c r="J22" s="6"/>
      <c r="K22" s="6"/>
      <c r="L22" s="6"/>
      <c r="M22" s="6"/>
      <c r="N22" s="6"/>
      <c r="O22" s="6"/>
      <c r="P22" s="6" t="s">
        <v>47</v>
      </c>
      <c r="Q22" s="6"/>
      <c r="R22" s="6" t="s">
        <v>47</v>
      </c>
      <c r="S22" s="6" t="s">
        <v>47</v>
      </c>
      <c r="T22" s="6"/>
      <c r="U22" s="7" t="s">
        <v>48</v>
      </c>
      <c r="V22" s="6" t="n">
        <v>10</v>
      </c>
      <c r="W22" s="6"/>
      <c r="X22" s="6" t="s">
        <v>49</v>
      </c>
      <c r="Y22" s="7" t="s">
        <v>156</v>
      </c>
      <c r="Z22" s="8" t="s">
        <v>157</v>
      </c>
      <c r="AA22" s="8"/>
      <c r="AB22" s="8"/>
      <c r="AC22" s="8"/>
      <c r="AD22" s="8"/>
    </row>
    <row r="23" customFormat="false" ht="26.85" hidden="false" customHeight="false" outlineLevel="0" collapsed="false">
      <c r="A23" s="9" t="s">
        <v>158</v>
      </c>
      <c r="B23" s="10" t="s">
        <v>83</v>
      </c>
      <c r="C23" s="10" t="s">
        <v>159</v>
      </c>
      <c r="D23" s="10" t="s">
        <v>160</v>
      </c>
      <c r="E23" s="10" t="s">
        <v>161</v>
      </c>
      <c r="F23" s="9" t="n">
        <v>1</v>
      </c>
      <c r="G23" s="9"/>
      <c r="H23" s="9"/>
      <c r="I23" s="9"/>
      <c r="J23" s="9"/>
      <c r="K23" s="9"/>
      <c r="L23" s="9"/>
      <c r="M23" s="9"/>
      <c r="N23" s="9"/>
      <c r="O23" s="9" t="s">
        <v>47</v>
      </c>
      <c r="P23" s="9" t="s">
        <v>47</v>
      </c>
      <c r="Q23" s="9" t="s">
        <v>47</v>
      </c>
      <c r="R23" s="9"/>
      <c r="S23" s="9"/>
      <c r="T23" s="9"/>
      <c r="U23" s="10" t="s">
        <v>162</v>
      </c>
      <c r="V23" s="9" t="n">
        <v>10</v>
      </c>
      <c r="W23" s="9"/>
      <c r="X23" s="9" t="s">
        <v>49</v>
      </c>
      <c r="Y23" s="10" t="s">
        <v>163</v>
      </c>
      <c r="Z23" s="11" t="s">
        <v>164</v>
      </c>
      <c r="AA23" s="11"/>
      <c r="AB23" s="11"/>
      <c r="AC23" s="11"/>
      <c r="AD23" s="11"/>
    </row>
    <row r="24" customFormat="false" ht="26.85" hidden="false" customHeight="false" outlineLevel="0" collapsed="false">
      <c r="A24" s="6" t="s">
        <v>165</v>
      </c>
      <c r="B24" s="7" t="s">
        <v>83</v>
      </c>
      <c r="C24" s="7" t="s">
        <v>166</v>
      </c>
      <c r="D24" s="7" t="s">
        <v>167</v>
      </c>
      <c r="E24" s="7" t="s">
        <v>103</v>
      </c>
      <c r="F24" s="6" t="n">
        <v>2</v>
      </c>
      <c r="G24" s="6"/>
      <c r="H24" s="6"/>
      <c r="I24" s="6"/>
      <c r="J24" s="6"/>
      <c r="K24" s="6"/>
      <c r="L24" s="6"/>
      <c r="M24" s="6"/>
      <c r="N24" s="6" t="s">
        <v>47</v>
      </c>
      <c r="O24" s="6"/>
      <c r="P24" s="6"/>
      <c r="Q24" s="6"/>
      <c r="R24" s="6"/>
      <c r="S24" s="6"/>
      <c r="T24" s="6"/>
      <c r="U24" s="7" t="s">
        <v>150</v>
      </c>
      <c r="V24" s="6"/>
      <c r="W24" s="6"/>
      <c r="X24" s="6" t="s">
        <v>49</v>
      </c>
      <c r="Y24" s="7"/>
      <c r="Z24" s="8" t="s">
        <v>168</v>
      </c>
      <c r="AA24" s="8" t="s">
        <v>169</v>
      </c>
      <c r="AB24" s="8"/>
      <c r="AC24" s="8" t="s">
        <v>170</v>
      </c>
      <c r="AD24" s="8"/>
    </row>
    <row r="25" customFormat="false" ht="26.85" hidden="false" customHeight="false" outlineLevel="0" collapsed="false">
      <c r="A25" s="9" t="s">
        <v>171</v>
      </c>
      <c r="B25" s="10" t="s">
        <v>172</v>
      </c>
      <c r="C25" s="10" t="s">
        <v>173</v>
      </c>
      <c r="D25" s="10" t="s">
        <v>174</v>
      </c>
      <c r="E25" s="10" t="s">
        <v>161</v>
      </c>
      <c r="F25" s="9" t="n">
        <v>1</v>
      </c>
      <c r="G25" s="9" t="s">
        <v>47</v>
      </c>
      <c r="H25" s="9" t="s">
        <v>47</v>
      </c>
      <c r="I25" s="9"/>
      <c r="J25" s="9" t="s">
        <v>47</v>
      </c>
      <c r="K25" s="9" t="s">
        <v>47</v>
      </c>
      <c r="L25" s="9"/>
      <c r="M25" s="9"/>
      <c r="N25" s="9" t="s">
        <v>47</v>
      </c>
      <c r="O25" s="9" t="s">
        <v>47</v>
      </c>
      <c r="P25" s="9" t="s">
        <v>47</v>
      </c>
      <c r="Q25" s="9" t="s">
        <v>47</v>
      </c>
      <c r="R25" s="9" t="s">
        <v>47</v>
      </c>
      <c r="S25" s="9" t="s">
        <v>47</v>
      </c>
      <c r="T25" s="9"/>
      <c r="U25" s="10" t="s">
        <v>162</v>
      </c>
      <c r="V25" s="9" t="n">
        <v>8</v>
      </c>
      <c r="W25" s="9"/>
      <c r="X25" s="9" t="s">
        <v>49</v>
      </c>
      <c r="Y25" s="10"/>
      <c r="Z25" s="11" t="s">
        <v>175</v>
      </c>
      <c r="AA25" s="11"/>
      <c r="AB25" s="11"/>
      <c r="AC25" s="11" t="s">
        <v>176</v>
      </c>
      <c r="AD25" s="11"/>
    </row>
    <row r="26" customFormat="false" ht="15" hidden="false" customHeight="false" outlineLevel="0" collapsed="false">
      <c r="A26" s="6" t="s">
        <v>177</v>
      </c>
      <c r="B26" s="7" t="s">
        <v>83</v>
      </c>
      <c r="C26" s="7" t="s">
        <v>178</v>
      </c>
      <c r="D26" s="7" t="s">
        <v>179</v>
      </c>
      <c r="E26" s="7" t="s">
        <v>161</v>
      </c>
      <c r="F26" s="6" t="n">
        <v>1</v>
      </c>
      <c r="G26" s="6"/>
      <c r="H26" s="6"/>
      <c r="I26" s="6"/>
      <c r="J26" s="6"/>
      <c r="K26" s="6"/>
      <c r="L26" s="6"/>
      <c r="M26" s="6"/>
      <c r="N26" s="6"/>
      <c r="O26" s="6"/>
      <c r="P26" s="6" t="s">
        <v>47</v>
      </c>
      <c r="Q26" s="6"/>
      <c r="R26" s="6" t="s">
        <v>47</v>
      </c>
      <c r="S26" s="6" t="s">
        <v>47</v>
      </c>
      <c r="T26" s="6"/>
      <c r="U26" s="7" t="s">
        <v>162</v>
      </c>
      <c r="V26" s="6" t="n">
        <v>8</v>
      </c>
      <c r="W26" s="6"/>
      <c r="X26" s="6" t="s">
        <v>49</v>
      </c>
      <c r="Y26" s="7" t="s">
        <v>156</v>
      </c>
      <c r="Z26" s="8" t="s">
        <v>157</v>
      </c>
      <c r="AA26" s="8"/>
      <c r="AB26" s="8"/>
      <c r="AC26" s="8"/>
      <c r="AD26" s="8"/>
    </row>
    <row r="27" customFormat="false" ht="26.85" hidden="false" customHeight="false" outlineLevel="0" collapsed="false">
      <c r="A27" s="9" t="s">
        <v>180</v>
      </c>
      <c r="B27" s="10" t="s">
        <v>83</v>
      </c>
      <c r="C27" s="10" t="s">
        <v>181</v>
      </c>
      <c r="D27" s="10" t="s">
        <v>182</v>
      </c>
      <c r="E27" s="10" t="s">
        <v>161</v>
      </c>
      <c r="F27" s="9" t="n">
        <v>1</v>
      </c>
      <c r="G27" s="9"/>
      <c r="H27" s="9"/>
      <c r="I27" s="9"/>
      <c r="J27" s="9"/>
      <c r="K27" s="9"/>
      <c r="L27" s="9"/>
      <c r="M27" s="9"/>
      <c r="N27" s="9"/>
      <c r="O27" s="9" t="s">
        <v>47</v>
      </c>
      <c r="P27" s="9" t="s">
        <v>47</v>
      </c>
      <c r="Q27" s="9" t="s">
        <v>47</v>
      </c>
      <c r="R27" s="9"/>
      <c r="S27" s="9" t="s">
        <v>47</v>
      </c>
      <c r="T27" s="9"/>
      <c r="U27" s="10" t="s">
        <v>162</v>
      </c>
      <c r="V27" s="9" t="n">
        <v>8</v>
      </c>
      <c r="W27" s="9"/>
      <c r="X27" s="9" t="s">
        <v>49</v>
      </c>
      <c r="Y27" s="10"/>
      <c r="Z27" s="11" t="s">
        <v>183</v>
      </c>
      <c r="AA27" s="11"/>
      <c r="AB27" s="11"/>
      <c r="AC27" s="11"/>
      <c r="AD27" s="11"/>
    </row>
    <row r="28" customFormat="false" ht="26.85" hidden="false" customHeight="false" outlineLevel="0" collapsed="false">
      <c r="A28" s="6" t="s">
        <v>184</v>
      </c>
      <c r="B28" s="7" t="s">
        <v>83</v>
      </c>
      <c r="C28" s="7" t="s">
        <v>185</v>
      </c>
      <c r="D28" s="7" t="s">
        <v>186</v>
      </c>
      <c r="E28" s="7" t="s">
        <v>161</v>
      </c>
      <c r="F28" s="6" t="n">
        <v>1</v>
      </c>
      <c r="G28" s="6"/>
      <c r="H28" s="6"/>
      <c r="I28" s="6"/>
      <c r="J28" s="6"/>
      <c r="K28" s="6"/>
      <c r="L28" s="6"/>
      <c r="M28" s="6"/>
      <c r="N28" s="6"/>
      <c r="O28" s="6" t="s">
        <v>47</v>
      </c>
      <c r="P28" s="6"/>
      <c r="Q28" s="6" t="s">
        <v>47</v>
      </c>
      <c r="R28" s="6" t="s">
        <v>47</v>
      </c>
      <c r="S28" s="6" t="s">
        <v>47</v>
      </c>
      <c r="T28" s="6"/>
      <c r="U28" s="7" t="s">
        <v>162</v>
      </c>
      <c r="V28" s="6" t="n">
        <v>8</v>
      </c>
      <c r="W28" s="6"/>
      <c r="X28" s="6" t="s">
        <v>49</v>
      </c>
      <c r="Y28" s="7"/>
      <c r="Z28" s="8" t="s">
        <v>183</v>
      </c>
      <c r="AA28" s="8"/>
      <c r="AB28" s="8"/>
      <c r="AC28" s="8" t="s">
        <v>187</v>
      </c>
      <c r="AD28" s="8"/>
    </row>
    <row r="29" customFormat="false" ht="15" hidden="false" customHeight="false" outlineLevel="0" collapsed="false">
      <c r="A29" s="9" t="s">
        <v>188</v>
      </c>
      <c r="B29" s="10" t="s">
        <v>83</v>
      </c>
      <c r="C29" s="10" t="s">
        <v>169</v>
      </c>
      <c r="D29" s="10" t="s">
        <v>189</v>
      </c>
      <c r="E29" s="10" t="s">
        <v>161</v>
      </c>
      <c r="F29" s="9" t="n">
        <v>1</v>
      </c>
      <c r="G29" s="9" t="s">
        <v>47</v>
      </c>
      <c r="H29" s="9" t="s">
        <v>47</v>
      </c>
      <c r="I29" s="9"/>
      <c r="J29" s="9"/>
      <c r="K29" s="9"/>
      <c r="L29" s="9"/>
      <c r="M29" s="9"/>
      <c r="N29" s="9" t="s">
        <v>47</v>
      </c>
      <c r="O29" s="9" t="s">
        <v>47</v>
      </c>
      <c r="P29" s="9" t="s">
        <v>47</v>
      </c>
      <c r="Q29" s="9" t="s">
        <v>47</v>
      </c>
      <c r="R29" s="9" t="s">
        <v>47</v>
      </c>
      <c r="S29" s="9" t="s">
        <v>47</v>
      </c>
      <c r="T29" s="9"/>
      <c r="U29" s="10" t="s">
        <v>162</v>
      </c>
      <c r="V29" s="9" t="n">
        <v>8</v>
      </c>
      <c r="W29" s="9"/>
      <c r="X29" s="9" t="s">
        <v>49</v>
      </c>
      <c r="Y29" s="10"/>
      <c r="Z29" s="11" t="s">
        <v>190</v>
      </c>
      <c r="AA29" s="11"/>
      <c r="AB29" s="11"/>
      <c r="AC29" s="11" t="s">
        <v>191</v>
      </c>
      <c r="AD29" s="11"/>
    </row>
    <row r="30" customFormat="false" ht="26.85" hidden="false" customHeight="false" outlineLevel="0" collapsed="false">
      <c r="A30" s="6" t="s">
        <v>192</v>
      </c>
      <c r="B30" s="7" t="s">
        <v>193</v>
      </c>
      <c r="C30" s="7" t="s">
        <v>194</v>
      </c>
      <c r="D30" s="7" t="s">
        <v>195</v>
      </c>
      <c r="E30" s="7" t="s">
        <v>161</v>
      </c>
      <c r="F30" s="6" t="n">
        <v>1</v>
      </c>
      <c r="G30" s="6" t="s">
        <v>47</v>
      </c>
      <c r="H30" s="6"/>
      <c r="I30" s="6"/>
      <c r="J30" s="6"/>
      <c r="K30" s="6" t="s">
        <v>47</v>
      </c>
      <c r="L30" s="6"/>
      <c r="M30" s="6"/>
      <c r="N30" s="6"/>
      <c r="O30" s="6"/>
      <c r="P30" s="6"/>
      <c r="Q30" s="6"/>
      <c r="R30" s="6" t="s">
        <v>47</v>
      </c>
      <c r="S30" s="6" t="s">
        <v>47</v>
      </c>
      <c r="T30" s="6"/>
      <c r="U30" s="7" t="s">
        <v>162</v>
      </c>
      <c r="V30" s="6"/>
      <c r="W30" s="6"/>
      <c r="X30" s="6" t="s">
        <v>49</v>
      </c>
      <c r="Y30" s="7"/>
      <c r="Z30" s="8" t="s">
        <v>196</v>
      </c>
      <c r="AA30" s="8"/>
      <c r="AB30" s="8"/>
      <c r="AC30" s="8"/>
      <c r="AD30" s="8"/>
    </row>
    <row r="31" customFormat="false" ht="26.85" hidden="false" customHeight="false" outlineLevel="0" collapsed="false">
      <c r="A31" s="9" t="s">
        <v>197</v>
      </c>
      <c r="B31" s="10" t="s">
        <v>83</v>
      </c>
      <c r="C31" s="10" t="s">
        <v>198</v>
      </c>
      <c r="D31" s="10" t="s">
        <v>199</v>
      </c>
      <c r="E31" s="10" t="s">
        <v>161</v>
      </c>
      <c r="F31" s="9" t="n">
        <v>1</v>
      </c>
      <c r="G31" s="9"/>
      <c r="H31" s="9"/>
      <c r="I31" s="9"/>
      <c r="J31" s="9"/>
      <c r="K31" s="9"/>
      <c r="L31" s="9"/>
      <c r="M31" s="9"/>
      <c r="N31" s="9" t="s">
        <v>47</v>
      </c>
      <c r="O31" s="9"/>
      <c r="P31" s="9"/>
      <c r="Q31" s="9"/>
      <c r="R31" s="9"/>
      <c r="S31" s="9"/>
      <c r="T31" s="9"/>
      <c r="U31" s="10" t="s">
        <v>162</v>
      </c>
      <c r="V31" s="9"/>
      <c r="W31" s="9"/>
      <c r="X31" s="9" t="s">
        <v>49</v>
      </c>
      <c r="Y31" s="10"/>
      <c r="Z31" s="11" t="s">
        <v>175</v>
      </c>
      <c r="AA31" s="11"/>
      <c r="AB31" s="11"/>
      <c r="AC31" s="11"/>
      <c r="AD31" s="11"/>
    </row>
    <row r="32" customFormat="false" ht="15" hidden="false" customHeight="false" outlineLevel="0" collapsed="false">
      <c r="A32" s="6" t="s">
        <v>200</v>
      </c>
      <c r="B32" s="7" t="s">
        <v>83</v>
      </c>
      <c r="C32" s="7" t="s">
        <v>201</v>
      </c>
      <c r="D32" s="7" t="s">
        <v>202</v>
      </c>
      <c r="E32" s="7" t="s">
        <v>161</v>
      </c>
      <c r="F32" s="6" t="n">
        <v>1</v>
      </c>
      <c r="G32" s="6"/>
      <c r="H32" s="6"/>
      <c r="I32" s="6"/>
      <c r="J32" s="6"/>
      <c r="K32" s="6"/>
      <c r="L32" s="6"/>
      <c r="M32" s="6"/>
      <c r="N32" s="6" t="s">
        <v>47</v>
      </c>
      <c r="O32" s="6"/>
      <c r="P32" s="6"/>
      <c r="Q32" s="6"/>
      <c r="R32" s="6" t="s">
        <v>47</v>
      </c>
      <c r="S32" s="6" t="s">
        <v>47</v>
      </c>
      <c r="T32" s="6"/>
      <c r="U32" s="7" t="s">
        <v>162</v>
      </c>
      <c r="V32" s="6"/>
      <c r="W32" s="6"/>
      <c r="X32" s="6" t="s">
        <v>49</v>
      </c>
      <c r="Y32" s="7"/>
      <c r="Z32" s="8" t="s">
        <v>203</v>
      </c>
      <c r="AA32" s="8"/>
      <c r="AB32" s="8"/>
      <c r="AC32" s="8"/>
      <c r="AD32" s="8"/>
    </row>
    <row r="33" customFormat="false" ht="15" hidden="false" customHeight="false" outlineLevel="0" collapsed="false">
      <c r="A33" s="9" t="s">
        <v>204</v>
      </c>
      <c r="B33" s="10" t="s">
        <v>83</v>
      </c>
      <c r="C33" s="10" t="s">
        <v>205</v>
      </c>
      <c r="D33" s="10" t="s">
        <v>206</v>
      </c>
      <c r="E33" s="10" t="s">
        <v>161</v>
      </c>
      <c r="F33" s="9" t="n">
        <v>1</v>
      </c>
      <c r="G33" s="9"/>
      <c r="H33" s="9"/>
      <c r="I33" s="9"/>
      <c r="J33" s="9"/>
      <c r="K33" s="9"/>
      <c r="L33" s="9"/>
      <c r="M33" s="9"/>
      <c r="N33" s="9" t="s">
        <v>47</v>
      </c>
      <c r="O33" s="9"/>
      <c r="P33" s="9"/>
      <c r="Q33" s="9"/>
      <c r="R33" s="9" t="s">
        <v>47</v>
      </c>
      <c r="S33" s="9" t="s">
        <v>47</v>
      </c>
      <c r="T33" s="9"/>
      <c r="U33" s="10" t="s">
        <v>162</v>
      </c>
      <c r="V33" s="9"/>
      <c r="W33" s="9"/>
      <c r="X33" s="9" t="s">
        <v>49</v>
      </c>
      <c r="Y33" s="10"/>
      <c r="Z33" s="11" t="s">
        <v>207</v>
      </c>
      <c r="AA33" s="11"/>
      <c r="AB33" s="11"/>
      <c r="AC33" s="11"/>
      <c r="AD33" s="11"/>
    </row>
    <row r="34" customFormat="false" ht="26.85" hidden="false" customHeight="false" outlineLevel="0" collapsed="false">
      <c r="A34" s="6" t="s">
        <v>208</v>
      </c>
      <c r="B34" s="7" t="s">
        <v>209</v>
      </c>
      <c r="C34" s="7" t="s">
        <v>209</v>
      </c>
      <c r="D34" s="7" t="s">
        <v>210</v>
      </c>
      <c r="E34" s="7" t="s">
        <v>161</v>
      </c>
      <c r="F34" s="6" t="n">
        <v>2</v>
      </c>
      <c r="G34" s="6"/>
      <c r="H34" s="6"/>
      <c r="I34" s="6"/>
      <c r="J34" s="6"/>
      <c r="K34" s="6"/>
      <c r="L34" s="6"/>
      <c r="M34" s="6"/>
      <c r="N34" s="6" t="s">
        <v>47</v>
      </c>
      <c r="O34" s="6"/>
      <c r="P34" s="6"/>
      <c r="Q34" s="6"/>
      <c r="R34" s="6"/>
      <c r="S34" s="6"/>
      <c r="T34" s="6"/>
      <c r="U34" s="7" t="s">
        <v>150</v>
      </c>
      <c r="V34" s="6"/>
      <c r="W34" s="6"/>
      <c r="X34" s="6" t="s">
        <v>49</v>
      </c>
      <c r="Y34" s="7"/>
      <c r="Z34" s="8" t="s">
        <v>211</v>
      </c>
      <c r="AA34" s="8" t="s">
        <v>135</v>
      </c>
      <c r="AB34" s="8"/>
      <c r="AC34" s="8" t="s">
        <v>212</v>
      </c>
      <c r="AD34" s="8"/>
    </row>
    <row r="35" customFormat="false" ht="15" hidden="false" customHeight="false" outlineLevel="0" collapsed="false">
      <c r="A35" s="9" t="s">
        <v>213</v>
      </c>
      <c r="B35" s="10" t="s">
        <v>83</v>
      </c>
      <c r="C35" s="10" t="s">
        <v>214</v>
      </c>
      <c r="D35" s="10" t="s">
        <v>215</v>
      </c>
      <c r="E35" s="10" t="s">
        <v>216</v>
      </c>
      <c r="F35" s="9" t="n">
        <v>1</v>
      </c>
      <c r="G35" s="9" t="s">
        <v>47</v>
      </c>
      <c r="H35" s="9" t="s">
        <v>47</v>
      </c>
      <c r="I35" s="9"/>
      <c r="J35" s="9"/>
      <c r="K35" s="9"/>
      <c r="L35" s="9"/>
      <c r="M35" s="9"/>
      <c r="N35" s="9"/>
      <c r="O35" s="9" t="s">
        <v>47</v>
      </c>
      <c r="P35" s="9" t="s">
        <v>47</v>
      </c>
      <c r="Q35" s="9" t="s">
        <v>47</v>
      </c>
      <c r="R35" s="9" t="s">
        <v>47</v>
      </c>
      <c r="S35" s="9" t="s">
        <v>47</v>
      </c>
      <c r="T35" s="9"/>
      <c r="U35" s="10" t="s">
        <v>162</v>
      </c>
      <c r="V35" s="9" t="n">
        <v>5</v>
      </c>
      <c r="W35" s="9"/>
      <c r="X35" s="9" t="s">
        <v>124</v>
      </c>
      <c r="Y35" s="10"/>
      <c r="Z35" s="11" t="s">
        <v>217</v>
      </c>
      <c r="AA35" s="11"/>
      <c r="AB35" s="11"/>
      <c r="AC35" s="11"/>
      <c r="AD35" s="11"/>
    </row>
    <row r="36" customFormat="false" ht="26.85" hidden="false" customHeight="false" outlineLevel="0" collapsed="false">
      <c r="A36" s="6" t="s">
        <v>218</v>
      </c>
      <c r="B36" s="7" t="s">
        <v>83</v>
      </c>
      <c r="C36" s="7" t="s">
        <v>219</v>
      </c>
      <c r="D36" s="7" t="s">
        <v>220</v>
      </c>
      <c r="E36" s="7" t="s">
        <v>161</v>
      </c>
      <c r="F36" s="6" t="n">
        <v>1</v>
      </c>
      <c r="G36" s="6"/>
      <c r="H36" s="6"/>
      <c r="I36" s="6"/>
      <c r="J36" s="6"/>
      <c r="K36" s="6"/>
      <c r="L36" s="6"/>
      <c r="M36" s="6"/>
      <c r="N36" s="6"/>
      <c r="O36" s="6" t="s">
        <v>47</v>
      </c>
      <c r="P36" s="6" t="s">
        <v>47</v>
      </c>
      <c r="Q36" s="6" t="s">
        <v>47</v>
      </c>
      <c r="R36" s="6"/>
      <c r="S36" s="6"/>
      <c r="T36" s="6"/>
      <c r="U36" s="7" t="s">
        <v>162</v>
      </c>
      <c r="V36" s="6" t="n">
        <v>5</v>
      </c>
      <c r="W36" s="6"/>
      <c r="X36" s="6" t="s">
        <v>49</v>
      </c>
      <c r="Y36" s="7" t="s">
        <v>221</v>
      </c>
      <c r="Z36" s="8" t="s">
        <v>222</v>
      </c>
      <c r="AA36" s="8"/>
      <c r="AB36" s="8"/>
      <c r="AC36" s="8" t="s">
        <v>223</v>
      </c>
      <c r="AD36" s="8"/>
    </row>
    <row r="37" customFormat="false" ht="26.85" hidden="false" customHeight="false" outlineLevel="0" collapsed="false">
      <c r="A37" s="9" t="s">
        <v>224</v>
      </c>
      <c r="B37" s="10" t="s">
        <v>83</v>
      </c>
      <c r="C37" s="10" t="s">
        <v>225</v>
      </c>
      <c r="D37" s="10" t="s">
        <v>226</v>
      </c>
      <c r="E37" s="10" t="s">
        <v>227</v>
      </c>
      <c r="F37" s="9" t="n">
        <v>1</v>
      </c>
      <c r="G37" s="9" t="s">
        <v>47</v>
      </c>
      <c r="H37" s="9"/>
      <c r="I37" s="9"/>
      <c r="J37" s="9"/>
      <c r="K37" s="9"/>
      <c r="L37" s="9"/>
      <c r="M37" s="9"/>
      <c r="N37" s="9"/>
      <c r="O37" s="9" t="s">
        <v>47</v>
      </c>
      <c r="P37" s="9"/>
      <c r="Q37" s="9" t="s">
        <v>47</v>
      </c>
      <c r="R37" s="9" t="s">
        <v>47</v>
      </c>
      <c r="S37" s="9" t="s">
        <v>47</v>
      </c>
      <c r="T37" s="9"/>
      <c r="U37" s="10" t="s">
        <v>162</v>
      </c>
      <c r="V37" s="9" t="n">
        <v>5</v>
      </c>
      <c r="W37" s="9"/>
      <c r="X37" s="9" t="s">
        <v>124</v>
      </c>
      <c r="Y37" s="10" t="s">
        <v>104</v>
      </c>
      <c r="Z37" s="11" t="s">
        <v>228</v>
      </c>
      <c r="AA37" s="11"/>
      <c r="AB37" s="11"/>
      <c r="AC37" s="11"/>
      <c r="AD37" s="11"/>
    </row>
    <row r="38" customFormat="false" ht="15" hidden="false" customHeight="false" outlineLevel="0" collapsed="false">
      <c r="A38" s="6" t="s">
        <v>229</v>
      </c>
      <c r="B38" s="7" t="s">
        <v>230</v>
      </c>
      <c r="C38" s="7" t="s">
        <v>231</v>
      </c>
      <c r="D38" s="7" t="s">
        <v>232</v>
      </c>
      <c r="E38" s="7" t="s">
        <v>233</v>
      </c>
      <c r="F38" s="6" t="n">
        <v>1</v>
      </c>
      <c r="G38" s="6" t="s">
        <v>47</v>
      </c>
      <c r="H38" s="6"/>
      <c r="I38" s="6" t="s">
        <v>47</v>
      </c>
      <c r="J38" s="6" t="s">
        <v>47</v>
      </c>
      <c r="K38" s="6"/>
      <c r="L38" s="6"/>
      <c r="M38" s="6"/>
      <c r="N38" s="6"/>
      <c r="O38" s="6" t="s">
        <v>47</v>
      </c>
      <c r="P38" s="6"/>
      <c r="Q38" s="6" t="s">
        <v>47</v>
      </c>
      <c r="R38" s="6" t="s">
        <v>47</v>
      </c>
      <c r="S38" s="6" t="s">
        <v>47</v>
      </c>
      <c r="T38" s="6"/>
      <c r="U38" s="7" t="s">
        <v>162</v>
      </c>
      <c r="V38" s="6" t="n">
        <v>8</v>
      </c>
      <c r="W38" s="6"/>
      <c r="X38" s="6" t="s">
        <v>124</v>
      </c>
      <c r="Y38" s="7" t="s">
        <v>234</v>
      </c>
      <c r="Z38" s="8" t="s">
        <v>235</v>
      </c>
      <c r="AA38" s="8"/>
      <c r="AB38" s="8"/>
      <c r="AC38" s="8"/>
      <c r="AD38" s="8"/>
    </row>
    <row r="39" customFormat="false" ht="26.85" hidden="false" customHeight="false" outlineLevel="0" collapsed="false">
      <c r="A39" s="9" t="s">
        <v>236</v>
      </c>
      <c r="B39" s="10" t="s">
        <v>237</v>
      </c>
      <c r="C39" s="10" t="s">
        <v>238</v>
      </c>
      <c r="D39" s="10" t="s">
        <v>239</v>
      </c>
      <c r="E39" s="10" t="s">
        <v>240</v>
      </c>
      <c r="F39" s="9" t="n">
        <v>1</v>
      </c>
      <c r="G39" s="9" t="s">
        <v>47</v>
      </c>
      <c r="H39" s="9" t="s">
        <v>47</v>
      </c>
      <c r="I39" s="9"/>
      <c r="J39" s="9" t="s">
        <v>47</v>
      </c>
      <c r="K39" s="9"/>
      <c r="L39" s="9"/>
      <c r="M39" s="9"/>
      <c r="N39" s="9"/>
      <c r="O39" s="9"/>
      <c r="P39" s="9" t="s">
        <v>47</v>
      </c>
      <c r="Q39" s="9" t="s">
        <v>47</v>
      </c>
      <c r="R39" s="9"/>
      <c r="S39" s="9" t="s">
        <v>47</v>
      </c>
      <c r="T39" s="9" t="s">
        <v>47</v>
      </c>
      <c r="U39" s="10" t="s">
        <v>162</v>
      </c>
      <c r="V39" s="9" t="n">
        <v>5</v>
      </c>
      <c r="W39" s="9"/>
      <c r="X39" s="9" t="s">
        <v>124</v>
      </c>
      <c r="Y39" s="10" t="s">
        <v>241</v>
      </c>
      <c r="Z39" s="11" t="s">
        <v>242</v>
      </c>
      <c r="AA39" s="11" t="s">
        <v>243</v>
      </c>
      <c r="AB39" s="11" t="s">
        <v>244</v>
      </c>
      <c r="AC39" s="11" t="s">
        <v>245</v>
      </c>
      <c r="AD39" s="11"/>
    </row>
    <row r="40" customFormat="false" ht="26.85" hidden="false" customHeight="false" outlineLevel="0" collapsed="false">
      <c r="A40" s="6" t="s">
        <v>246</v>
      </c>
      <c r="B40" s="7" t="s">
        <v>247</v>
      </c>
      <c r="C40" s="7" t="s">
        <v>248</v>
      </c>
      <c r="D40" s="7" t="s">
        <v>249</v>
      </c>
      <c r="E40" s="7" t="s">
        <v>250</v>
      </c>
      <c r="F40" s="6" t="n">
        <v>1</v>
      </c>
      <c r="G40" s="6" t="s">
        <v>47</v>
      </c>
      <c r="H40" s="6" t="s">
        <v>47</v>
      </c>
      <c r="I40" s="6"/>
      <c r="J40" s="6" t="s">
        <v>47</v>
      </c>
      <c r="K40" s="6"/>
      <c r="L40" s="6"/>
      <c r="M40" s="6"/>
      <c r="N40" s="6"/>
      <c r="O40" s="6"/>
      <c r="P40" s="6"/>
      <c r="Q40" s="6"/>
      <c r="R40" s="6"/>
      <c r="S40" s="6" t="s">
        <v>47</v>
      </c>
      <c r="T40" s="6" t="s">
        <v>47</v>
      </c>
      <c r="U40" s="7" t="s">
        <v>162</v>
      </c>
      <c r="V40" s="6" t="n">
        <v>5</v>
      </c>
      <c r="W40" s="6"/>
      <c r="X40" s="6" t="s">
        <v>124</v>
      </c>
      <c r="Y40" s="7" t="s">
        <v>251</v>
      </c>
      <c r="Z40" s="8" t="s">
        <v>235</v>
      </c>
      <c r="AA40" s="8" t="s">
        <v>252</v>
      </c>
      <c r="AB40" s="8"/>
      <c r="AC40" s="8"/>
      <c r="AD40" s="8"/>
    </row>
    <row r="41" customFormat="false" ht="39.55" hidden="false" customHeight="false" outlineLevel="0" collapsed="false">
      <c r="A41" s="9" t="s">
        <v>253</v>
      </c>
      <c r="B41" s="10" t="s">
        <v>254</v>
      </c>
      <c r="C41" s="10" t="s">
        <v>255</v>
      </c>
      <c r="D41" s="10" t="s">
        <v>256</v>
      </c>
      <c r="E41" s="10" t="s">
        <v>257</v>
      </c>
      <c r="F41" s="9" t="n">
        <v>2</v>
      </c>
      <c r="G41" s="9" t="s">
        <v>47</v>
      </c>
      <c r="H41" s="9" t="s">
        <v>47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 t="s">
        <v>47</v>
      </c>
      <c r="U41" s="10" t="s">
        <v>240</v>
      </c>
      <c r="V41" s="9" t="n">
        <v>5</v>
      </c>
      <c r="W41" s="9"/>
      <c r="X41" s="9" t="s">
        <v>124</v>
      </c>
      <c r="Y41" s="10" t="s">
        <v>251</v>
      </c>
      <c r="Z41" s="11" t="s">
        <v>258</v>
      </c>
      <c r="AA41" s="11" t="s">
        <v>259</v>
      </c>
      <c r="AB41" s="11" t="s">
        <v>244</v>
      </c>
      <c r="AC41" s="11"/>
      <c r="AD41" s="11"/>
    </row>
    <row r="42" customFormat="false" ht="26.85" hidden="false" customHeight="false" outlineLevel="0" collapsed="false">
      <c r="A42" s="6" t="s">
        <v>260</v>
      </c>
      <c r="B42" s="7" t="s">
        <v>261</v>
      </c>
      <c r="C42" s="7" t="s">
        <v>262</v>
      </c>
      <c r="D42" s="7" t="s">
        <v>263</v>
      </c>
      <c r="E42" s="7" t="s">
        <v>257</v>
      </c>
      <c r="F42" s="6" t="n">
        <v>1</v>
      </c>
      <c r="G42" s="6" t="s">
        <v>47</v>
      </c>
      <c r="H42" s="6" t="s">
        <v>47</v>
      </c>
      <c r="I42" s="6"/>
      <c r="J42" s="6" t="s">
        <v>47</v>
      </c>
      <c r="K42" s="6"/>
      <c r="L42" s="6"/>
      <c r="M42" s="6"/>
      <c r="N42" s="6" t="s">
        <v>47</v>
      </c>
      <c r="O42" s="6" t="s">
        <v>47</v>
      </c>
      <c r="P42" s="6" t="s">
        <v>47</v>
      </c>
      <c r="Q42" s="6"/>
      <c r="R42" s="6"/>
      <c r="S42" s="6"/>
      <c r="T42" s="6" t="s">
        <v>47</v>
      </c>
      <c r="U42" s="7" t="s">
        <v>162</v>
      </c>
      <c r="V42" s="6" t="n">
        <v>5</v>
      </c>
      <c r="W42" s="6"/>
      <c r="X42" s="6" t="s">
        <v>49</v>
      </c>
      <c r="Y42" s="7" t="s">
        <v>143</v>
      </c>
      <c r="Z42" s="8" t="s">
        <v>264</v>
      </c>
      <c r="AA42" s="8" t="s">
        <v>265</v>
      </c>
      <c r="AB42" s="8" t="s">
        <v>266</v>
      </c>
      <c r="AC42" s="8" t="s">
        <v>267</v>
      </c>
      <c r="AD42" s="8"/>
    </row>
    <row r="43" customFormat="false" ht="26.85" hidden="false" customHeight="false" outlineLevel="0" collapsed="false">
      <c r="A43" s="9" t="s">
        <v>268</v>
      </c>
      <c r="B43" s="10" t="s">
        <v>83</v>
      </c>
      <c r="C43" s="10" t="s">
        <v>269</v>
      </c>
      <c r="D43" s="10" t="s">
        <v>270</v>
      </c>
      <c r="E43" s="10" t="s">
        <v>257</v>
      </c>
      <c r="F43" s="9" t="n">
        <v>1</v>
      </c>
      <c r="G43" s="9"/>
      <c r="H43" s="9"/>
      <c r="I43" s="9"/>
      <c r="J43" s="9"/>
      <c r="K43" s="9"/>
      <c r="L43" s="9"/>
      <c r="M43" s="9"/>
      <c r="N43" s="9"/>
      <c r="O43" s="9" t="s">
        <v>47</v>
      </c>
      <c r="P43" s="9" t="s">
        <v>47</v>
      </c>
      <c r="Q43" s="9"/>
      <c r="R43" s="9"/>
      <c r="S43" s="9"/>
      <c r="T43" s="9"/>
      <c r="U43" s="10" t="s">
        <v>150</v>
      </c>
      <c r="V43" s="9" t="n">
        <v>5</v>
      </c>
      <c r="W43" s="9"/>
      <c r="X43" s="9" t="s">
        <v>49</v>
      </c>
      <c r="Y43" s="10" t="s">
        <v>271</v>
      </c>
      <c r="Z43" s="11" t="s">
        <v>272</v>
      </c>
      <c r="AA43" s="11"/>
      <c r="AB43" s="11"/>
      <c r="AC43" s="11" t="s">
        <v>273</v>
      </c>
      <c r="AD43" s="11"/>
    </row>
    <row r="44" customFormat="false" ht="26.85" hidden="false" customHeight="false" outlineLevel="0" collapsed="false">
      <c r="A44" s="6" t="s">
        <v>274</v>
      </c>
      <c r="B44" s="7" t="s">
        <v>83</v>
      </c>
      <c r="C44" s="7" t="s">
        <v>275</v>
      </c>
      <c r="D44" s="7" t="s">
        <v>276</v>
      </c>
      <c r="E44" s="7" t="s">
        <v>277</v>
      </c>
      <c r="F44" s="6" t="n">
        <v>1</v>
      </c>
      <c r="G44" s="6" t="s">
        <v>47</v>
      </c>
      <c r="H44" s="6"/>
      <c r="I44" s="6"/>
      <c r="J44" s="6"/>
      <c r="K44" s="6"/>
      <c r="L44" s="6"/>
      <c r="M44" s="6"/>
      <c r="N44" s="6"/>
      <c r="O44" s="6" t="s">
        <v>47</v>
      </c>
      <c r="P44" s="6"/>
      <c r="Q44" s="6" t="s">
        <v>47</v>
      </c>
      <c r="R44" s="6" t="s">
        <v>47</v>
      </c>
      <c r="S44" s="6" t="s">
        <v>47</v>
      </c>
      <c r="T44" s="6" t="s">
        <v>47</v>
      </c>
      <c r="U44" s="7" t="s">
        <v>162</v>
      </c>
      <c r="V44" s="6" t="n">
        <v>5</v>
      </c>
      <c r="W44" s="6"/>
      <c r="X44" s="6" t="s">
        <v>124</v>
      </c>
      <c r="Y44" s="7"/>
      <c r="Z44" s="8" t="s">
        <v>278</v>
      </c>
      <c r="AA44" s="8"/>
      <c r="AB44" s="8"/>
      <c r="AC44" s="8"/>
      <c r="AD44" s="8"/>
    </row>
    <row r="45" customFormat="false" ht="26.85" hidden="false" customHeight="false" outlineLevel="0" collapsed="false">
      <c r="A45" s="9" t="s">
        <v>279</v>
      </c>
      <c r="B45" s="10" t="s">
        <v>280</v>
      </c>
      <c r="C45" s="10" t="s">
        <v>281</v>
      </c>
      <c r="D45" s="10" t="s">
        <v>282</v>
      </c>
      <c r="E45" s="10" t="s">
        <v>283</v>
      </c>
      <c r="F45" s="9" t="n">
        <v>1</v>
      </c>
      <c r="G45" s="9" t="s">
        <v>47</v>
      </c>
      <c r="H45" s="9" t="s">
        <v>47</v>
      </c>
      <c r="I45" s="9" t="s">
        <v>47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 t="s">
        <v>47</v>
      </c>
      <c r="U45" s="10" t="s">
        <v>284</v>
      </c>
      <c r="V45" s="9"/>
      <c r="W45" s="9"/>
      <c r="X45" s="9" t="s">
        <v>49</v>
      </c>
      <c r="Y45" s="10"/>
      <c r="Z45" s="11" t="s">
        <v>285</v>
      </c>
      <c r="AA45" s="11" t="s">
        <v>243</v>
      </c>
      <c r="AB45" s="11" t="s">
        <v>286</v>
      </c>
      <c r="AC45" s="11" t="s">
        <v>287</v>
      </c>
      <c r="AD45" s="11"/>
    </row>
    <row r="46" customFormat="false" ht="26.85" hidden="false" customHeight="false" outlineLevel="0" collapsed="false">
      <c r="A46" s="6" t="s">
        <v>288</v>
      </c>
      <c r="B46" s="7" t="s">
        <v>289</v>
      </c>
      <c r="C46" s="7" t="s">
        <v>290</v>
      </c>
      <c r="D46" s="7" t="s">
        <v>291</v>
      </c>
      <c r="E46" s="7" t="s">
        <v>283</v>
      </c>
      <c r="F46" s="6" t="n">
        <v>2</v>
      </c>
      <c r="G46" s="6"/>
      <c r="H46" s="6" t="s">
        <v>47</v>
      </c>
      <c r="I46" s="6" t="s">
        <v>47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 t="s">
        <v>47</v>
      </c>
      <c r="U46" s="7" t="s">
        <v>284</v>
      </c>
      <c r="V46" s="6"/>
      <c r="W46" s="6"/>
      <c r="X46" s="6" t="s">
        <v>49</v>
      </c>
      <c r="Y46" s="7"/>
      <c r="Z46" s="8" t="s">
        <v>292</v>
      </c>
      <c r="AA46" s="8" t="s">
        <v>293</v>
      </c>
      <c r="AB46" s="8" t="s">
        <v>286</v>
      </c>
      <c r="AC46" s="8"/>
      <c r="AD46" s="8"/>
    </row>
    <row r="47" customFormat="false" ht="39.55" hidden="false" customHeight="false" outlineLevel="0" collapsed="false">
      <c r="A47" s="9" t="s">
        <v>294</v>
      </c>
      <c r="B47" s="10" t="s">
        <v>295</v>
      </c>
      <c r="C47" s="10" t="s">
        <v>296</v>
      </c>
      <c r="D47" s="10" t="s">
        <v>297</v>
      </c>
      <c r="E47" s="10" t="s">
        <v>283</v>
      </c>
      <c r="F47" s="9" t="n">
        <v>1</v>
      </c>
      <c r="G47" s="9" t="s">
        <v>47</v>
      </c>
      <c r="H47" s="9"/>
      <c r="I47" s="9"/>
      <c r="J47" s="9"/>
      <c r="K47" s="9" t="s">
        <v>47</v>
      </c>
      <c r="L47" s="9"/>
      <c r="M47" s="9"/>
      <c r="N47" s="9"/>
      <c r="O47" s="9"/>
      <c r="P47" s="9"/>
      <c r="Q47" s="9"/>
      <c r="R47" s="9"/>
      <c r="S47" s="9"/>
      <c r="T47" s="9"/>
      <c r="U47" s="10" t="s">
        <v>284</v>
      </c>
      <c r="V47" s="9"/>
      <c r="W47" s="9"/>
      <c r="X47" s="9" t="s">
        <v>49</v>
      </c>
      <c r="Y47" s="10"/>
      <c r="Z47" s="11" t="s">
        <v>298</v>
      </c>
      <c r="AA47" s="11"/>
      <c r="AB47" s="11"/>
      <c r="AC47" s="11"/>
      <c r="AD47" s="11"/>
    </row>
    <row r="48" customFormat="false" ht="26.85" hidden="false" customHeight="false" outlineLevel="0" collapsed="false">
      <c r="A48" s="6" t="s">
        <v>299</v>
      </c>
      <c r="B48" s="7" t="s">
        <v>300</v>
      </c>
      <c r="C48" s="7" t="s">
        <v>301</v>
      </c>
      <c r="D48" s="7" t="s">
        <v>302</v>
      </c>
      <c r="E48" s="7" t="s">
        <v>283</v>
      </c>
      <c r="F48" s="6" t="n">
        <v>1</v>
      </c>
      <c r="G48" s="6" t="s">
        <v>47</v>
      </c>
      <c r="H48" s="6" t="s">
        <v>47</v>
      </c>
      <c r="I48" s="6"/>
      <c r="J48" s="6"/>
      <c r="K48" s="6"/>
      <c r="L48" s="6"/>
      <c r="M48" s="6"/>
      <c r="N48" s="6"/>
      <c r="O48" s="6"/>
      <c r="P48" s="6" t="s">
        <v>47</v>
      </c>
      <c r="Q48" s="6"/>
      <c r="R48" s="6" t="s">
        <v>47</v>
      </c>
      <c r="S48" s="6"/>
      <c r="T48" s="6"/>
      <c r="U48" s="7" t="s">
        <v>284</v>
      </c>
      <c r="V48" s="6"/>
      <c r="W48" s="6"/>
      <c r="X48" s="6" t="s">
        <v>49</v>
      </c>
      <c r="Y48" s="7"/>
      <c r="Z48" s="8" t="s">
        <v>303</v>
      </c>
      <c r="AA48" s="8"/>
      <c r="AB48" s="8"/>
      <c r="AC48" s="8" t="s">
        <v>304</v>
      </c>
      <c r="AD48" s="8"/>
    </row>
    <row r="49" customFormat="false" ht="15" hidden="false" customHeight="false" outlineLevel="0" collapsed="false">
      <c r="A49" s="9" t="s">
        <v>305</v>
      </c>
      <c r="B49" s="10" t="s">
        <v>83</v>
      </c>
      <c r="C49" s="10" t="s">
        <v>306</v>
      </c>
      <c r="D49" s="10" t="s">
        <v>307</v>
      </c>
      <c r="E49" s="10" t="s">
        <v>283</v>
      </c>
      <c r="F49" s="9" t="n">
        <v>1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 t="s">
        <v>47</v>
      </c>
      <c r="S49" s="9" t="s">
        <v>47</v>
      </c>
      <c r="T49" s="9"/>
      <c r="U49" s="10" t="s">
        <v>284</v>
      </c>
      <c r="V49" s="9"/>
      <c r="W49" s="9"/>
      <c r="X49" s="9" t="s">
        <v>49</v>
      </c>
      <c r="Y49" s="10" t="s">
        <v>156</v>
      </c>
      <c r="Z49" s="11" t="s">
        <v>157</v>
      </c>
      <c r="AA49" s="11"/>
      <c r="AB49" s="11"/>
      <c r="AC49" s="11"/>
      <c r="AD49" s="11"/>
    </row>
    <row r="50" customFormat="false" ht="39.55" hidden="false" customHeight="false" outlineLevel="0" collapsed="false">
      <c r="A50" s="6" t="s">
        <v>308</v>
      </c>
      <c r="B50" s="7" t="s">
        <v>19</v>
      </c>
      <c r="C50" s="7" t="s">
        <v>309</v>
      </c>
      <c r="D50" s="7" t="s">
        <v>310</v>
      </c>
      <c r="E50" s="7" t="s">
        <v>283</v>
      </c>
      <c r="F50" s="6" t="n">
        <v>2</v>
      </c>
      <c r="G50" s="6"/>
      <c r="H50" s="6" t="s">
        <v>47</v>
      </c>
      <c r="I50" s="6" t="s">
        <v>47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 t="s">
        <v>47</v>
      </c>
      <c r="U50" s="7" t="s">
        <v>284</v>
      </c>
      <c r="V50" s="6"/>
      <c r="W50" s="6"/>
      <c r="X50" s="6" t="s">
        <v>49</v>
      </c>
      <c r="Y50" s="7"/>
      <c r="Z50" s="8" t="s">
        <v>311</v>
      </c>
      <c r="AA50" s="8" t="s">
        <v>312</v>
      </c>
      <c r="AB50" s="8"/>
      <c r="AC50" s="8" t="s">
        <v>313</v>
      </c>
      <c r="AD50" s="8"/>
    </row>
    <row r="51" customFormat="false" ht="15" hidden="false" customHeight="false" outlineLevel="0" collapsed="false">
      <c r="A51" s="9" t="s">
        <v>314</v>
      </c>
      <c r="B51" s="10" t="s">
        <v>315</v>
      </c>
      <c r="C51" s="10" t="s">
        <v>316</v>
      </c>
      <c r="D51" s="10" t="s">
        <v>317</v>
      </c>
      <c r="E51" s="10" t="s">
        <v>240</v>
      </c>
      <c r="F51" s="9" t="n">
        <v>1</v>
      </c>
      <c r="G51" s="9" t="s">
        <v>47</v>
      </c>
      <c r="H51" s="9" t="s">
        <v>47</v>
      </c>
      <c r="I51" s="9" t="s">
        <v>47</v>
      </c>
      <c r="J51" s="9" t="s">
        <v>47</v>
      </c>
      <c r="K51" s="9" t="s">
        <v>47</v>
      </c>
      <c r="L51" s="9"/>
      <c r="M51" s="9"/>
      <c r="N51" s="9"/>
      <c r="O51" s="9" t="s">
        <v>47</v>
      </c>
      <c r="P51" s="9" t="s">
        <v>47</v>
      </c>
      <c r="Q51" s="9" t="s">
        <v>47</v>
      </c>
      <c r="R51" s="9" t="s">
        <v>47</v>
      </c>
      <c r="S51" s="9" t="s">
        <v>47</v>
      </c>
      <c r="T51" s="9"/>
      <c r="U51" s="10" t="s">
        <v>284</v>
      </c>
      <c r="V51" s="9" t="n">
        <v>5</v>
      </c>
      <c r="W51" s="9"/>
      <c r="X51" s="9" t="s">
        <v>49</v>
      </c>
      <c r="Y51" s="10"/>
      <c r="Z51" s="11" t="s">
        <v>318</v>
      </c>
      <c r="AA51" s="11"/>
      <c r="AB51" s="11"/>
      <c r="AC51" s="11"/>
      <c r="AD51" s="11"/>
    </row>
    <row r="52" customFormat="false" ht="15" hidden="false" customHeight="false" outlineLevel="0" collapsed="false">
      <c r="A52" s="6" t="s">
        <v>319</v>
      </c>
      <c r="B52" s="7" t="s">
        <v>320</v>
      </c>
      <c r="C52" s="7" t="s">
        <v>321</v>
      </c>
      <c r="D52" s="7" t="s">
        <v>322</v>
      </c>
      <c r="E52" s="7" t="s">
        <v>240</v>
      </c>
      <c r="F52" s="6" t="n">
        <v>1</v>
      </c>
      <c r="G52" s="6" t="s">
        <v>47</v>
      </c>
      <c r="H52" s="6" t="s">
        <v>47</v>
      </c>
      <c r="I52" s="6"/>
      <c r="J52" s="6" t="s">
        <v>47</v>
      </c>
      <c r="K52" s="6" t="s">
        <v>47</v>
      </c>
      <c r="L52" s="6"/>
      <c r="M52" s="6"/>
      <c r="N52" s="6"/>
      <c r="O52" s="6"/>
      <c r="P52" s="6" t="s">
        <v>47</v>
      </c>
      <c r="Q52" s="6"/>
      <c r="R52" s="6" t="s">
        <v>47</v>
      </c>
      <c r="S52" s="6" t="s">
        <v>47</v>
      </c>
      <c r="T52" s="6"/>
      <c r="U52" s="7" t="s">
        <v>284</v>
      </c>
      <c r="V52" s="6" t="n">
        <v>3</v>
      </c>
      <c r="W52" s="6"/>
      <c r="X52" s="6" t="s">
        <v>49</v>
      </c>
      <c r="Y52" s="7"/>
      <c r="Z52" s="8" t="s">
        <v>323</v>
      </c>
      <c r="AA52" s="8"/>
      <c r="AB52" s="8"/>
      <c r="AC52" s="8"/>
      <c r="AD52" s="8"/>
    </row>
    <row r="53" customFormat="false" ht="26.85" hidden="false" customHeight="false" outlineLevel="0" collapsed="false">
      <c r="A53" s="9" t="s">
        <v>324</v>
      </c>
      <c r="B53" s="10" t="s">
        <v>325</v>
      </c>
      <c r="C53" s="10" t="s">
        <v>266</v>
      </c>
      <c r="D53" s="10" t="s">
        <v>326</v>
      </c>
      <c r="E53" s="10" t="s">
        <v>250</v>
      </c>
      <c r="F53" s="9" t="n">
        <v>1</v>
      </c>
      <c r="G53" s="9" t="s">
        <v>47</v>
      </c>
      <c r="H53" s="9" t="s">
        <v>47</v>
      </c>
      <c r="I53" s="9" t="s">
        <v>47</v>
      </c>
      <c r="J53" s="9" t="s">
        <v>47</v>
      </c>
      <c r="K53" s="9" t="s">
        <v>47</v>
      </c>
      <c r="L53" s="9"/>
      <c r="M53" s="9"/>
      <c r="N53" s="9"/>
      <c r="O53" s="9"/>
      <c r="P53" s="9"/>
      <c r="Q53" s="9"/>
      <c r="R53" s="9"/>
      <c r="S53" s="9" t="s">
        <v>47</v>
      </c>
      <c r="T53" s="9" t="s">
        <v>47</v>
      </c>
      <c r="U53" s="10" t="s">
        <v>284</v>
      </c>
      <c r="V53" s="9" t="n">
        <v>5</v>
      </c>
      <c r="W53" s="9"/>
      <c r="X53" s="9" t="s">
        <v>49</v>
      </c>
      <c r="Y53" s="10"/>
      <c r="Z53" s="11" t="s">
        <v>235</v>
      </c>
      <c r="AA53" s="11"/>
      <c r="AB53" s="11"/>
      <c r="AC53" s="11" t="s">
        <v>327</v>
      </c>
      <c r="AD53" s="11"/>
    </row>
    <row r="54" customFormat="false" ht="15" hidden="false" customHeight="false" outlineLevel="0" collapsed="false">
      <c r="A54" s="6" t="s">
        <v>328</v>
      </c>
      <c r="B54" s="7" t="s">
        <v>329</v>
      </c>
      <c r="C54" s="7" t="s">
        <v>330</v>
      </c>
      <c r="D54" s="7" t="s">
        <v>331</v>
      </c>
      <c r="E54" s="7" t="s">
        <v>250</v>
      </c>
      <c r="F54" s="6" t="n">
        <v>1</v>
      </c>
      <c r="G54" s="6" t="s">
        <v>47</v>
      </c>
      <c r="H54" s="6" t="s">
        <v>47</v>
      </c>
      <c r="I54" s="6" t="s">
        <v>47</v>
      </c>
      <c r="J54" s="6" t="s">
        <v>47</v>
      </c>
      <c r="K54" s="6"/>
      <c r="L54" s="6"/>
      <c r="M54" s="6"/>
      <c r="N54" s="6"/>
      <c r="O54" s="6"/>
      <c r="P54" s="6"/>
      <c r="Q54" s="6"/>
      <c r="R54" s="6"/>
      <c r="S54" s="6" t="s">
        <v>47</v>
      </c>
      <c r="T54" s="6" t="s">
        <v>47</v>
      </c>
      <c r="U54" s="7" t="s">
        <v>284</v>
      </c>
      <c r="V54" s="6" t="n">
        <v>3</v>
      </c>
      <c r="W54" s="6"/>
      <c r="X54" s="6" t="s">
        <v>49</v>
      </c>
      <c r="Y54" s="7"/>
      <c r="Z54" s="8" t="s">
        <v>332</v>
      </c>
      <c r="AA54" s="8"/>
      <c r="AB54" s="8"/>
      <c r="AC54" s="8"/>
      <c r="AD54" s="8"/>
    </row>
    <row r="55" customFormat="false" ht="15" hidden="false" customHeight="false" outlineLevel="0" collapsed="false">
      <c r="A55" s="9" t="s">
        <v>333</v>
      </c>
      <c r="B55" s="10" t="s">
        <v>334</v>
      </c>
      <c r="C55" s="10" t="s">
        <v>335</v>
      </c>
      <c r="D55" s="10" t="s">
        <v>336</v>
      </c>
      <c r="E55" s="10" t="s">
        <v>250</v>
      </c>
      <c r="F55" s="9" t="n">
        <v>2</v>
      </c>
      <c r="G55" s="9"/>
      <c r="H55" s="9"/>
      <c r="I55" s="9" t="s">
        <v>47</v>
      </c>
      <c r="J55" s="9" t="s">
        <v>47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10" t="s">
        <v>240</v>
      </c>
      <c r="V55" s="9" t="n">
        <v>5</v>
      </c>
      <c r="W55" s="9"/>
      <c r="X55" s="9" t="s">
        <v>49</v>
      </c>
      <c r="Y55" s="10"/>
      <c r="Z55" s="11" t="s">
        <v>235</v>
      </c>
      <c r="AA55" s="11" t="s">
        <v>337</v>
      </c>
      <c r="AB55" s="11" t="s">
        <v>338</v>
      </c>
      <c r="AC55" s="11"/>
      <c r="AD55" s="11"/>
    </row>
    <row r="56" customFormat="false" ht="15" hidden="false" customHeight="false" outlineLevel="0" collapsed="false">
      <c r="A56" s="6" t="s">
        <v>339</v>
      </c>
      <c r="B56" s="7" t="s">
        <v>340</v>
      </c>
      <c r="C56" s="7" t="s">
        <v>341</v>
      </c>
      <c r="D56" s="7" t="s">
        <v>342</v>
      </c>
      <c r="E56" s="7" t="s">
        <v>250</v>
      </c>
      <c r="F56" s="6" t="n">
        <v>2</v>
      </c>
      <c r="G56" s="6"/>
      <c r="H56" s="6"/>
      <c r="I56" s="6" t="s">
        <v>47</v>
      </c>
      <c r="J56" s="6" t="s">
        <v>47</v>
      </c>
      <c r="K56" s="6" t="s">
        <v>47</v>
      </c>
      <c r="L56" s="6"/>
      <c r="M56" s="6"/>
      <c r="N56" s="6"/>
      <c r="O56" s="6"/>
      <c r="P56" s="6"/>
      <c r="Q56" s="6"/>
      <c r="R56" s="6"/>
      <c r="S56" s="6"/>
      <c r="T56" s="6"/>
      <c r="U56" s="7" t="s">
        <v>240</v>
      </c>
      <c r="V56" s="6" t="n">
        <v>5</v>
      </c>
      <c r="W56" s="6"/>
      <c r="X56" s="6" t="s">
        <v>49</v>
      </c>
      <c r="Y56" s="7"/>
      <c r="Z56" s="8" t="s">
        <v>343</v>
      </c>
      <c r="AA56" s="8" t="s">
        <v>337</v>
      </c>
      <c r="AB56" s="8" t="s">
        <v>338</v>
      </c>
      <c r="AC56" s="8"/>
      <c r="AD56" s="8"/>
    </row>
    <row r="57" customFormat="false" ht="26.85" hidden="false" customHeight="false" outlineLevel="0" collapsed="false">
      <c r="A57" s="9" t="s">
        <v>344</v>
      </c>
      <c r="B57" s="10" t="s">
        <v>345</v>
      </c>
      <c r="C57" s="10" t="s">
        <v>156</v>
      </c>
      <c r="D57" s="10" t="s">
        <v>346</v>
      </c>
      <c r="E57" s="10" t="s">
        <v>240</v>
      </c>
      <c r="F57" s="9" t="n">
        <v>1</v>
      </c>
      <c r="G57" s="9" t="s">
        <v>47</v>
      </c>
      <c r="H57" s="9" t="s">
        <v>47</v>
      </c>
      <c r="I57" s="9" t="s">
        <v>47</v>
      </c>
      <c r="J57" s="9" t="s">
        <v>47</v>
      </c>
      <c r="K57" s="9"/>
      <c r="L57" s="9"/>
      <c r="M57" s="9"/>
      <c r="N57" s="9"/>
      <c r="O57" s="9"/>
      <c r="P57" s="9"/>
      <c r="Q57" s="9"/>
      <c r="R57" s="9"/>
      <c r="S57" s="9"/>
      <c r="T57" s="9" t="s">
        <v>47</v>
      </c>
      <c r="U57" s="10" t="s">
        <v>284</v>
      </c>
      <c r="V57" s="9" t="n">
        <v>5</v>
      </c>
      <c r="W57" s="9"/>
      <c r="X57" s="9" t="s">
        <v>49</v>
      </c>
      <c r="Y57" s="10"/>
      <c r="Z57" s="11" t="s">
        <v>347</v>
      </c>
      <c r="AA57" s="11"/>
      <c r="AB57" s="11" t="s">
        <v>266</v>
      </c>
      <c r="AC57" s="11" t="s">
        <v>145</v>
      </c>
      <c r="AD57" s="11"/>
    </row>
    <row r="58" customFormat="false" ht="15" hidden="false" customHeight="false" outlineLevel="0" collapsed="false">
      <c r="A58" s="6" t="s">
        <v>348</v>
      </c>
      <c r="B58" s="7" t="s">
        <v>349</v>
      </c>
      <c r="C58" s="7" t="s">
        <v>350</v>
      </c>
      <c r="D58" s="7" t="s">
        <v>351</v>
      </c>
      <c r="E58" s="7" t="s">
        <v>227</v>
      </c>
      <c r="F58" s="6" t="n">
        <v>2</v>
      </c>
      <c r="G58" s="6"/>
      <c r="H58" s="6" t="s">
        <v>47</v>
      </c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 t="s">
        <v>47</v>
      </c>
      <c r="U58" s="7" t="s">
        <v>240</v>
      </c>
      <c r="V58" s="6" t="n">
        <v>5</v>
      </c>
      <c r="W58" s="6"/>
      <c r="X58" s="6" t="s">
        <v>124</v>
      </c>
      <c r="Y58" s="7"/>
      <c r="Z58" s="8" t="s">
        <v>352</v>
      </c>
      <c r="AA58" s="8" t="s">
        <v>353</v>
      </c>
      <c r="AB58" s="8" t="s">
        <v>354</v>
      </c>
      <c r="AC58" s="8" t="s">
        <v>355</v>
      </c>
      <c r="AD58" s="8"/>
    </row>
    <row r="59" customFormat="false" ht="26.85" hidden="false" customHeight="false" outlineLevel="0" collapsed="false">
      <c r="A59" s="9" t="s">
        <v>356</v>
      </c>
      <c r="B59" s="10" t="s">
        <v>357</v>
      </c>
      <c r="C59" s="10" t="s">
        <v>358</v>
      </c>
      <c r="D59" s="10" t="s">
        <v>359</v>
      </c>
      <c r="E59" s="10" t="s">
        <v>240</v>
      </c>
      <c r="F59" s="9" t="n">
        <v>1</v>
      </c>
      <c r="G59" s="9" t="s">
        <v>47</v>
      </c>
      <c r="H59" s="9" t="s">
        <v>47</v>
      </c>
      <c r="I59" s="9"/>
      <c r="J59" s="9"/>
      <c r="K59" s="9"/>
      <c r="L59" s="9"/>
      <c r="M59" s="9"/>
      <c r="N59" s="9"/>
      <c r="O59" s="9"/>
      <c r="P59" s="9" t="s">
        <v>47</v>
      </c>
      <c r="Q59" s="9"/>
      <c r="R59" s="9"/>
      <c r="S59" s="9"/>
      <c r="T59" s="9" t="s">
        <v>47</v>
      </c>
      <c r="U59" s="10" t="s">
        <v>240</v>
      </c>
      <c r="V59" s="9" t="n">
        <v>5</v>
      </c>
      <c r="W59" s="9"/>
      <c r="X59" s="9" t="s">
        <v>49</v>
      </c>
      <c r="Y59" s="10"/>
      <c r="Z59" s="11" t="s">
        <v>360</v>
      </c>
      <c r="AA59" s="11"/>
      <c r="AB59" s="11"/>
      <c r="AC59" s="11" t="s">
        <v>361</v>
      </c>
      <c r="AD59" s="11"/>
    </row>
    <row r="60" customFormat="false" ht="26.85" hidden="false" customHeight="false" outlineLevel="0" collapsed="false">
      <c r="A60" s="6" t="s">
        <v>362</v>
      </c>
      <c r="B60" s="7" t="s">
        <v>363</v>
      </c>
      <c r="C60" s="7" t="s">
        <v>364</v>
      </c>
      <c r="D60" s="7" t="s">
        <v>365</v>
      </c>
      <c r="E60" s="7" t="s">
        <v>240</v>
      </c>
      <c r="F60" s="6" t="n">
        <v>1</v>
      </c>
      <c r="G60" s="6" t="s">
        <v>47</v>
      </c>
      <c r="H60" s="6" t="s">
        <v>47</v>
      </c>
      <c r="I60" s="6" t="s">
        <v>47</v>
      </c>
      <c r="J60" s="6" t="s">
        <v>47</v>
      </c>
      <c r="K60" s="6"/>
      <c r="L60" s="6"/>
      <c r="M60" s="6"/>
      <c r="N60" s="6"/>
      <c r="O60" s="6"/>
      <c r="P60" s="6"/>
      <c r="Q60" s="6"/>
      <c r="R60" s="6"/>
      <c r="S60" s="6" t="s">
        <v>47</v>
      </c>
      <c r="T60" s="6" t="s">
        <v>47</v>
      </c>
      <c r="U60" s="7" t="s">
        <v>240</v>
      </c>
      <c r="V60" s="6" t="n">
        <v>5</v>
      </c>
      <c r="W60" s="6"/>
      <c r="X60" s="6" t="s">
        <v>124</v>
      </c>
      <c r="Y60" s="7"/>
      <c r="Z60" s="8" t="s">
        <v>366</v>
      </c>
      <c r="AA60" s="8" t="s">
        <v>367</v>
      </c>
      <c r="AB60" s="8" t="s">
        <v>266</v>
      </c>
      <c r="AC60" s="8"/>
      <c r="AD60" s="8"/>
    </row>
    <row r="61" customFormat="false" ht="26.85" hidden="false" customHeight="false" outlineLevel="0" collapsed="false">
      <c r="A61" s="9" t="s">
        <v>368</v>
      </c>
      <c r="B61" s="10" t="s">
        <v>369</v>
      </c>
      <c r="C61" s="10" t="s">
        <v>370</v>
      </c>
      <c r="D61" s="10" t="s">
        <v>371</v>
      </c>
      <c r="E61" s="10" t="s">
        <v>240</v>
      </c>
      <c r="F61" s="9" t="n">
        <v>1</v>
      </c>
      <c r="G61" s="9" t="s">
        <v>47</v>
      </c>
      <c r="H61" s="9" t="s">
        <v>47</v>
      </c>
      <c r="I61" s="9" t="s">
        <v>47</v>
      </c>
      <c r="J61" s="9" t="s">
        <v>47</v>
      </c>
      <c r="K61" s="9"/>
      <c r="L61" s="9"/>
      <c r="M61" s="9"/>
      <c r="N61" s="9"/>
      <c r="O61" s="9"/>
      <c r="P61" s="9" t="s">
        <v>47</v>
      </c>
      <c r="Q61" s="9"/>
      <c r="R61" s="9" t="s">
        <v>47</v>
      </c>
      <c r="S61" s="9" t="s">
        <v>47</v>
      </c>
      <c r="T61" s="9" t="s">
        <v>47</v>
      </c>
      <c r="U61" s="10" t="s">
        <v>240</v>
      </c>
      <c r="V61" s="9" t="n">
        <v>5</v>
      </c>
      <c r="W61" s="9"/>
      <c r="X61" s="9" t="s">
        <v>124</v>
      </c>
      <c r="Y61" s="10"/>
      <c r="Z61" s="11" t="s">
        <v>372</v>
      </c>
      <c r="AA61" s="11"/>
      <c r="AB61" s="11"/>
      <c r="AC61" s="11"/>
      <c r="AD61" s="11"/>
    </row>
    <row r="62" customFormat="false" ht="15" hidden="false" customHeight="false" outlineLevel="0" collapsed="false">
      <c r="A62" s="6" t="s">
        <v>373</v>
      </c>
      <c r="B62" s="7" t="s">
        <v>374</v>
      </c>
      <c r="C62" s="7" t="s">
        <v>375</v>
      </c>
      <c r="D62" s="7" t="s">
        <v>376</v>
      </c>
      <c r="E62" s="7" t="s">
        <v>216</v>
      </c>
      <c r="F62" s="6" t="n">
        <v>1</v>
      </c>
      <c r="G62" s="6"/>
      <c r="H62" s="6" t="s">
        <v>47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 t="s">
        <v>47</v>
      </c>
      <c r="U62" s="7" t="s">
        <v>240</v>
      </c>
      <c r="V62" s="6" t="n">
        <v>3</v>
      </c>
      <c r="W62" s="6"/>
      <c r="X62" s="6" t="s">
        <v>124</v>
      </c>
      <c r="Y62" s="7"/>
      <c r="Z62" s="8" t="s">
        <v>377</v>
      </c>
      <c r="AA62" s="8" t="s">
        <v>370</v>
      </c>
      <c r="AB62" s="8"/>
      <c r="AC62" s="8"/>
      <c r="AD62" s="8"/>
    </row>
    <row r="63" customFormat="false" ht="26.85" hidden="false" customHeight="false" outlineLevel="0" collapsed="false">
      <c r="A63" s="9" t="s">
        <v>378</v>
      </c>
      <c r="B63" s="10" t="s">
        <v>379</v>
      </c>
      <c r="C63" s="10" t="s">
        <v>380</v>
      </c>
      <c r="D63" s="10" t="s">
        <v>381</v>
      </c>
      <c r="E63" s="10" t="s">
        <v>240</v>
      </c>
      <c r="F63" s="9" t="n">
        <v>2</v>
      </c>
      <c r="G63" s="9"/>
      <c r="H63" s="9" t="s">
        <v>47</v>
      </c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 t="s">
        <v>47</v>
      </c>
      <c r="U63" s="10" t="s">
        <v>240</v>
      </c>
      <c r="V63" s="9" t="n">
        <v>5</v>
      </c>
      <c r="W63" s="9"/>
      <c r="X63" s="9" t="s">
        <v>124</v>
      </c>
      <c r="Y63" s="10"/>
      <c r="Z63" s="11" t="s">
        <v>382</v>
      </c>
      <c r="AA63" s="11" t="s">
        <v>383</v>
      </c>
      <c r="AB63" s="11" t="s">
        <v>266</v>
      </c>
      <c r="AC63" s="11" t="s">
        <v>384</v>
      </c>
      <c r="AD63" s="11"/>
    </row>
    <row r="64" customFormat="false" ht="26.85" hidden="false" customHeight="false" outlineLevel="0" collapsed="false">
      <c r="A64" s="6" t="s">
        <v>385</v>
      </c>
      <c r="B64" s="7" t="s">
        <v>386</v>
      </c>
      <c r="C64" s="7" t="s">
        <v>387</v>
      </c>
      <c r="D64" s="7" t="s">
        <v>388</v>
      </c>
      <c r="E64" s="7" t="s">
        <v>318</v>
      </c>
      <c r="F64" s="6" t="n">
        <v>2</v>
      </c>
      <c r="G64" s="6" t="s">
        <v>47</v>
      </c>
      <c r="H64" s="6" t="s">
        <v>47</v>
      </c>
      <c r="I64" s="6"/>
      <c r="J64" s="6" t="s">
        <v>47</v>
      </c>
      <c r="K64" s="6"/>
      <c r="L64" s="6"/>
      <c r="M64" s="6"/>
      <c r="N64" s="6"/>
      <c r="O64" s="6"/>
      <c r="P64" s="6"/>
      <c r="Q64" s="6"/>
      <c r="R64" s="6"/>
      <c r="S64" s="6"/>
      <c r="T64" s="6" t="s">
        <v>47</v>
      </c>
      <c r="U64" s="7" t="s">
        <v>240</v>
      </c>
      <c r="V64" s="6" t="n">
        <v>5</v>
      </c>
      <c r="W64" s="6"/>
      <c r="X64" s="6" t="s">
        <v>124</v>
      </c>
      <c r="Y64" s="7" t="s">
        <v>251</v>
      </c>
      <c r="Z64" s="8" t="s">
        <v>389</v>
      </c>
      <c r="AA64" s="8" t="s">
        <v>390</v>
      </c>
      <c r="AB64" s="8" t="s">
        <v>266</v>
      </c>
      <c r="AC64" s="8"/>
      <c r="AD64" s="8"/>
    </row>
    <row r="65" customFormat="false" ht="39.55" hidden="false" customHeight="false" outlineLevel="0" collapsed="false">
      <c r="A65" s="9" t="s">
        <v>391</v>
      </c>
      <c r="B65" s="10" t="s">
        <v>392</v>
      </c>
      <c r="C65" s="10" t="s">
        <v>393</v>
      </c>
      <c r="D65" s="10" t="s">
        <v>394</v>
      </c>
      <c r="E65" s="10" t="s">
        <v>240</v>
      </c>
      <c r="F65" s="9" t="n">
        <v>1</v>
      </c>
      <c r="G65" s="9" t="s">
        <v>47</v>
      </c>
      <c r="H65" s="9" t="s">
        <v>47</v>
      </c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 t="s">
        <v>47</v>
      </c>
      <c r="U65" s="10" t="s">
        <v>240</v>
      </c>
      <c r="V65" s="9" t="n">
        <v>5</v>
      </c>
      <c r="W65" s="9"/>
      <c r="X65" s="9" t="s">
        <v>124</v>
      </c>
      <c r="Y65" s="10"/>
      <c r="Z65" s="11" t="s">
        <v>395</v>
      </c>
      <c r="AA65" s="11" t="s">
        <v>238</v>
      </c>
      <c r="AB65" s="11"/>
      <c r="AC65" s="11"/>
      <c r="AD65" s="11"/>
    </row>
    <row r="66" customFormat="false" ht="39.55" hidden="false" customHeight="false" outlineLevel="0" collapsed="false">
      <c r="A66" s="6" t="s">
        <v>396</v>
      </c>
      <c r="B66" s="7" t="s">
        <v>397</v>
      </c>
      <c r="C66" s="7" t="s">
        <v>398</v>
      </c>
      <c r="D66" s="7" t="s">
        <v>399</v>
      </c>
      <c r="E66" s="7" t="s">
        <v>227</v>
      </c>
      <c r="F66" s="6" t="n">
        <v>2</v>
      </c>
      <c r="G66" s="6"/>
      <c r="H66" s="6" t="s">
        <v>47</v>
      </c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 t="s">
        <v>47</v>
      </c>
      <c r="U66" s="7" t="s">
        <v>240</v>
      </c>
      <c r="V66" s="6" t="n">
        <v>5</v>
      </c>
      <c r="W66" s="6"/>
      <c r="X66" s="6" t="s">
        <v>124</v>
      </c>
      <c r="Y66" s="7"/>
      <c r="Z66" s="8" t="s">
        <v>400</v>
      </c>
      <c r="AA66" s="8" t="s">
        <v>401</v>
      </c>
      <c r="AB66" s="8" t="s">
        <v>354</v>
      </c>
      <c r="AC66" s="8" t="s">
        <v>402</v>
      </c>
      <c r="AD66" s="8"/>
    </row>
    <row r="67" customFormat="false" ht="26.85" hidden="false" customHeight="false" outlineLevel="0" collapsed="false">
      <c r="A67" s="9" t="s">
        <v>403</v>
      </c>
      <c r="B67" s="10" t="s">
        <v>404</v>
      </c>
      <c r="C67" s="10" t="s">
        <v>405</v>
      </c>
      <c r="D67" s="10" t="s">
        <v>406</v>
      </c>
      <c r="E67" s="10" t="s">
        <v>257</v>
      </c>
      <c r="F67" s="9" t="n">
        <v>2</v>
      </c>
      <c r="G67" s="9"/>
      <c r="H67" s="9" t="s">
        <v>47</v>
      </c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 t="s">
        <v>47</v>
      </c>
      <c r="U67" s="10" t="s">
        <v>240</v>
      </c>
      <c r="V67" s="9" t="n">
        <v>5</v>
      </c>
      <c r="W67" s="9"/>
      <c r="X67" s="9" t="s">
        <v>124</v>
      </c>
      <c r="Y67" s="10" t="s">
        <v>143</v>
      </c>
      <c r="Z67" s="11" t="s">
        <v>407</v>
      </c>
      <c r="AA67" s="11" t="s">
        <v>408</v>
      </c>
      <c r="AB67" s="11" t="s">
        <v>354</v>
      </c>
      <c r="AC67" s="11"/>
      <c r="AD67" s="11"/>
    </row>
    <row r="68" customFormat="false" ht="26.85" hidden="false" customHeight="false" outlineLevel="0" collapsed="false">
      <c r="A68" s="6" t="s">
        <v>409</v>
      </c>
      <c r="B68" s="7" t="s">
        <v>410</v>
      </c>
      <c r="C68" s="7" t="s">
        <v>411</v>
      </c>
      <c r="D68" s="7" t="s">
        <v>412</v>
      </c>
      <c r="E68" s="7" t="s">
        <v>240</v>
      </c>
      <c r="F68" s="6" t="n">
        <v>1</v>
      </c>
      <c r="G68" s="6" t="s">
        <v>47</v>
      </c>
      <c r="H68" s="6" t="s">
        <v>47</v>
      </c>
      <c r="I68" s="6" t="s">
        <v>47</v>
      </c>
      <c r="J68" s="6" t="s">
        <v>47</v>
      </c>
      <c r="K68" s="6" t="s">
        <v>47</v>
      </c>
      <c r="L68" s="6"/>
      <c r="M68" s="6"/>
      <c r="N68" s="6"/>
      <c r="O68" s="6"/>
      <c r="P68" s="6" t="s">
        <v>47</v>
      </c>
      <c r="Q68" s="6"/>
      <c r="R68" s="6"/>
      <c r="S68" s="6" t="s">
        <v>47</v>
      </c>
      <c r="T68" s="6" t="s">
        <v>47</v>
      </c>
      <c r="U68" s="7" t="s">
        <v>240</v>
      </c>
      <c r="V68" s="6" t="n">
        <v>5</v>
      </c>
      <c r="W68" s="6"/>
      <c r="X68" s="6" t="s">
        <v>124</v>
      </c>
      <c r="Y68" s="7" t="s">
        <v>143</v>
      </c>
      <c r="Z68" s="8" t="s">
        <v>413</v>
      </c>
      <c r="AA68" s="8" t="s">
        <v>414</v>
      </c>
      <c r="AB68" s="8"/>
      <c r="AC68" s="8" t="s">
        <v>415</v>
      </c>
      <c r="AD68" s="8"/>
    </row>
    <row r="69" customFormat="false" ht="26.85" hidden="false" customHeight="false" outlineLevel="0" collapsed="false">
      <c r="A69" s="9" t="s">
        <v>416</v>
      </c>
      <c r="B69" s="10" t="s">
        <v>417</v>
      </c>
      <c r="C69" s="10" t="s">
        <v>418</v>
      </c>
      <c r="D69" s="10" t="s">
        <v>419</v>
      </c>
      <c r="E69" s="10" t="s">
        <v>227</v>
      </c>
      <c r="F69" s="9" t="n">
        <v>2</v>
      </c>
      <c r="G69" s="9" t="s">
        <v>47</v>
      </c>
      <c r="H69" s="9" t="s">
        <v>47</v>
      </c>
      <c r="I69" s="9" t="s">
        <v>47</v>
      </c>
      <c r="J69" s="9" t="s">
        <v>47</v>
      </c>
      <c r="K69" s="9"/>
      <c r="L69" s="9"/>
      <c r="M69" s="9"/>
      <c r="N69" s="9"/>
      <c r="O69" s="9"/>
      <c r="P69" s="9"/>
      <c r="Q69" s="9"/>
      <c r="R69" s="9"/>
      <c r="S69" s="9"/>
      <c r="T69" s="9" t="s">
        <v>47</v>
      </c>
      <c r="U69" s="10" t="s">
        <v>240</v>
      </c>
      <c r="V69" s="9" t="n">
        <v>5</v>
      </c>
      <c r="W69" s="9"/>
      <c r="X69" s="9" t="s">
        <v>124</v>
      </c>
      <c r="Y69" s="10" t="s">
        <v>143</v>
      </c>
      <c r="Z69" s="11" t="s">
        <v>420</v>
      </c>
      <c r="AA69" s="11" t="s">
        <v>421</v>
      </c>
      <c r="AB69" s="11" t="s">
        <v>266</v>
      </c>
      <c r="AC69" s="11" t="s">
        <v>422</v>
      </c>
      <c r="AD69" s="11"/>
    </row>
    <row r="70" customFormat="false" ht="26.85" hidden="false" customHeight="false" outlineLevel="0" collapsed="false">
      <c r="A70" s="6" t="s">
        <v>423</v>
      </c>
      <c r="B70" s="7" t="s">
        <v>424</v>
      </c>
      <c r="C70" s="7" t="s">
        <v>425</v>
      </c>
      <c r="D70" s="7" t="s">
        <v>426</v>
      </c>
      <c r="E70" s="7" t="s">
        <v>240</v>
      </c>
      <c r="F70" s="6" t="n">
        <v>1</v>
      </c>
      <c r="G70" s="6" t="s">
        <v>47</v>
      </c>
      <c r="H70" s="6" t="s">
        <v>47</v>
      </c>
      <c r="I70" s="6" t="s">
        <v>47</v>
      </c>
      <c r="J70" s="6" t="s">
        <v>47</v>
      </c>
      <c r="K70" s="6"/>
      <c r="L70" s="6"/>
      <c r="M70" s="6"/>
      <c r="N70" s="6"/>
      <c r="O70" s="6"/>
      <c r="P70" s="6" t="s">
        <v>47</v>
      </c>
      <c r="Q70" s="6"/>
      <c r="R70" s="6"/>
      <c r="S70" s="6"/>
      <c r="T70" s="6" t="s">
        <v>47</v>
      </c>
      <c r="U70" s="7" t="s">
        <v>240</v>
      </c>
      <c r="V70" s="6" t="n">
        <v>5</v>
      </c>
      <c r="W70" s="6"/>
      <c r="X70" s="6" t="s">
        <v>124</v>
      </c>
      <c r="Y70" s="7"/>
      <c r="Z70" s="8" t="s">
        <v>427</v>
      </c>
      <c r="AA70" s="8" t="s">
        <v>370</v>
      </c>
      <c r="AB70" s="8"/>
      <c r="AC70" s="8"/>
      <c r="AD70" s="8"/>
    </row>
    <row r="71" customFormat="false" ht="26.85" hidden="false" customHeight="false" outlineLevel="0" collapsed="false">
      <c r="A71" s="9" t="s">
        <v>428</v>
      </c>
      <c r="B71" s="10" t="s">
        <v>429</v>
      </c>
      <c r="C71" s="10" t="s">
        <v>430</v>
      </c>
      <c r="D71" s="10" t="s">
        <v>431</v>
      </c>
      <c r="E71" s="10" t="s">
        <v>227</v>
      </c>
      <c r="F71" s="9" t="n">
        <v>3</v>
      </c>
      <c r="G71" s="9"/>
      <c r="H71" s="9" t="s">
        <v>47</v>
      </c>
      <c r="I71" s="9" t="s">
        <v>47</v>
      </c>
      <c r="J71" s="9" t="s">
        <v>47</v>
      </c>
      <c r="K71" s="9"/>
      <c r="L71" s="9"/>
      <c r="M71" s="9"/>
      <c r="N71" s="9"/>
      <c r="O71" s="9"/>
      <c r="P71" s="9"/>
      <c r="Q71" s="9"/>
      <c r="R71" s="9"/>
      <c r="S71" s="9"/>
      <c r="T71" s="9" t="s">
        <v>47</v>
      </c>
      <c r="U71" s="10" t="s">
        <v>240</v>
      </c>
      <c r="V71" s="9" t="n">
        <v>5</v>
      </c>
      <c r="W71" s="9"/>
      <c r="X71" s="9" t="s">
        <v>124</v>
      </c>
      <c r="Y71" s="10"/>
      <c r="Z71" s="11" t="s">
        <v>432</v>
      </c>
      <c r="AA71" s="11" t="s">
        <v>433</v>
      </c>
      <c r="AB71" s="11" t="s">
        <v>354</v>
      </c>
      <c r="AC71" s="11" t="s">
        <v>402</v>
      </c>
      <c r="AD71" s="11"/>
    </row>
    <row r="72" customFormat="false" ht="15" hidden="false" customHeight="false" outlineLevel="0" collapsed="false">
      <c r="A72" s="6" t="s">
        <v>434</v>
      </c>
      <c r="B72" s="7" t="s">
        <v>435</v>
      </c>
      <c r="C72" s="7" t="s">
        <v>436</v>
      </c>
      <c r="D72" s="7" t="s">
        <v>437</v>
      </c>
      <c r="E72" s="7" t="s">
        <v>250</v>
      </c>
      <c r="F72" s="6" t="n">
        <v>1</v>
      </c>
      <c r="G72" s="6" t="s">
        <v>47</v>
      </c>
      <c r="H72" s="6" t="s">
        <v>47</v>
      </c>
      <c r="I72" s="6" t="s">
        <v>47</v>
      </c>
      <c r="J72" s="6" t="s">
        <v>47</v>
      </c>
      <c r="K72" s="6"/>
      <c r="L72" s="6"/>
      <c r="M72" s="6"/>
      <c r="N72" s="6"/>
      <c r="O72" s="6"/>
      <c r="P72" s="6" t="s">
        <v>47</v>
      </c>
      <c r="Q72" s="6"/>
      <c r="R72" s="6"/>
      <c r="S72" s="6"/>
      <c r="T72" s="6" t="s">
        <v>47</v>
      </c>
      <c r="U72" s="7" t="s">
        <v>240</v>
      </c>
      <c r="V72" s="6" t="n">
        <v>5</v>
      </c>
      <c r="W72" s="6"/>
      <c r="X72" s="6" t="s">
        <v>49</v>
      </c>
      <c r="Y72" s="7" t="s">
        <v>143</v>
      </c>
      <c r="Z72" s="8" t="s">
        <v>438</v>
      </c>
      <c r="AA72" s="8"/>
      <c r="AB72" s="8"/>
      <c r="AC72" s="8" t="s">
        <v>439</v>
      </c>
      <c r="AD72" s="8"/>
    </row>
    <row r="73" customFormat="false" ht="26.85" hidden="false" customHeight="false" outlineLevel="0" collapsed="false">
      <c r="A73" s="9" t="s">
        <v>440</v>
      </c>
      <c r="B73" s="10" t="s">
        <v>441</v>
      </c>
      <c r="C73" s="10" t="s">
        <v>442</v>
      </c>
      <c r="D73" s="10" t="s">
        <v>443</v>
      </c>
      <c r="E73" s="10" t="s">
        <v>250</v>
      </c>
      <c r="F73" s="9" t="n">
        <v>2</v>
      </c>
      <c r="G73" s="9" t="s">
        <v>47</v>
      </c>
      <c r="H73" s="9" t="s">
        <v>47</v>
      </c>
      <c r="I73" s="9" t="s">
        <v>47</v>
      </c>
      <c r="J73" s="9" t="s">
        <v>47</v>
      </c>
      <c r="K73" s="9"/>
      <c r="L73" s="9"/>
      <c r="M73" s="9"/>
      <c r="N73" s="9"/>
      <c r="O73" s="9"/>
      <c r="P73" s="9"/>
      <c r="Q73" s="9"/>
      <c r="R73" s="9"/>
      <c r="S73" s="9"/>
      <c r="T73" s="9" t="s">
        <v>47</v>
      </c>
      <c r="U73" s="10" t="s">
        <v>240</v>
      </c>
      <c r="V73" s="9" t="n">
        <v>5</v>
      </c>
      <c r="W73" s="9"/>
      <c r="X73" s="9" t="s">
        <v>124</v>
      </c>
      <c r="Y73" s="10" t="s">
        <v>251</v>
      </c>
      <c r="Z73" s="11" t="s">
        <v>444</v>
      </c>
      <c r="AA73" s="11" t="s">
        <v>445</v>
      </c>
      <c r="AB73" s="11" t="s">
        <v>338</v>
      </c>
      <c r="AC73" s="11"/>
      <c r="AD73" s="11"/>
    </row>
    <row r="74" customFormat="false" ht="26.85" hidden="false" customHeight="false" outlineLevel="0" collapsed="false">
      <c r="A74" s="6" t="s">
        <v>446</v>
      </c>
      <c r="B74" s="7" t="s">
        <v>447</v>
      </c>
      <c r="C74" s="7" t="s">
        <v>448</v>
      </c>
      <c r="D74" s="7" t="s">
        <v>449</v>
      </c>
      <c r="E74" s="7" t="s">
        <v>318</v>
      </c>
      <c r="F74" s="6" t="n">
        <v>2</v>
      </c>
      <c r="G74" s="6" t="s">
        <v>47</v>
      </c>
      <c r="H74" s="6" t="s">
        <v>47</v>
      </c>
      <c r="I74" s="6"/>
      <c r="J74" s="6" t="s">
        <v>47</v>
      </c>
      <c r="K74" s="6"/>
      <c r="L74" s="6"/>
      <c r="M74" s="6"/>
      <c r="N74" s="6"/>
      <c r="O74" s="6"/>
      <c r="P74" s="6"/>
      <c r="Q74" s="6"/>
      <c r="R74" s="6"/>
      <c r="S74" s="6"/>
      <c r="T74" s="6" t="s">
        <v>47</v>
      </c>
      <c r="U74" s="7" t="s">
        <v>240</v>
      </c>
      <c r="V74" s="6" t="n">
        <v>5</v>
      </c>
      <c r="W74" s="6"/>
      <c r="X74" s="6" t="s">
        <v>124</v>
      </c>
      <c r="Y74" s="7" t="s">
        <v>143</v>
      </c>
      <c r="Z74" s="8" t="s">
        <v>450</v>
      </c>
      <c r="AA74" s="8" t="s">
        <v>451</v>
      </c>
      <c r="AB74" s="8"/>
      <c r="AC74" s="8"/>
      <c r="AD74" s="8"/>
    </row>
    <row r="75" customFormat="false" ht="26.85" hidden="false" customHeight="false" outlineLevel="0" collapsed="false">
      <c r="A75" s="9" t="s">
        <v>452</v>
      </c>
      <c r="B75" s="10" t="s">
        <v>453</v>
      </c>
      <c r="C75" s="10" t="s">
        <v>454</v>
      </c>
      <c r="D75" s="10" t="s">
        <v>455</v>
      </c>
      <c r="E75" s="10" t="s">
        <v>318</v>
      </c>
      <c r="F75" s="9" t="n">
        <v>3</v>
      </c>
      <c r="G75" s="9"/>
      <c r="H75" s="9" t="s">
        <v>47</v>
      </c>
      <c r="I75" s="9"/>
      <c r="J75" s="9" t="s">
        <v>47</v>
      </c>
      <c r="K75" s="9"/>
      <c r="L75" s="9"/>
      <c r="M75" s="9"/>
      <c r="N75" s="9"/>
      <c r="O75" s="9"/>
      <c r="P75" s="9"/>
      <c r="Q75" s="9"/>
      <c r="R75" s="9"/>
      <c r="S75" s="9"/>
      <c r="T75" s="9" t="s">
        <v>47</v>
      </c>
      <c r="U75" s="10" t="s">
        <v>240</v>
      </c>
      <c r="V75" s="9" t="n">
        <v>5</v>
      </c>
      <c r="W75" s="9"/>
      <c r="X75" s="9" t="s">
        <v>124</v>
      </c>
      <c r="Y75" s="10" t="s">
        <v>143</v>
      </c>
      <c r="Z75" s="11" t="s">
        <v>456</v>
      </c>
      <c r="AA75" s="11" t="s">
        <v>457</v>
      </c>
      <c r="AB75" s="11"/>
      <c r="AC75" s="11"/>
      <c r="AD75" s="11"/>
    </row>
    <row r="76" customFormat="false" ht="26.85" hidden="false" customHeight="false" outlineLevel="0" collapsed="false">
      <c r="A76" s="6" t="s">
        <v>458</v>
      </c>
      <c r="B76" s="7" t="s">
        <v>459</v>
      </c>
      <c r="C76" s="7" t="s">
        <v>460</v>
      </c>
      <c r="D76" s="7" t="s">
        <v>461</v>
      </c>
      <c r="E76" s="7" t="s">
        <v>318</v>
      </c>
      <c r="F76" s="6" t="n">
        <v>1</v>
      </c>
      <c r="G76" s="6" t="s">
        <v>47</v>
      </c>
      <c r="H76" s="6" t="s">
        <v>47</v>
      </c>
      <c r="I76" s="6"/>
      <c r="J76" s="6" t="s">
        <v>47</v>
      </c>
      <c r="K76" s="6" t="s">
        <v>47</v>
      </c>
      <c r="L76" s="6"/>
      <c r="M76" s="6"/>
      <c r="N76" s="6"/>
      <c r="O76" s="6" t="s">
        <v>47</v>
      </c>
      <c r="P76" s="6" t="s">
        <v>47</v>
      </c>
      <c r="Q76" s="6"/>
      <c r="R76" s="6" t="s">
        <v>47</v>
      </c>
      <c r="S76" s="6" t="s">
        <v>47</v>
      </c>
      <c r="T76" s="6"/>
      <c r="U76" s="7" t="s">
        <v>240</v>
      </c>
      <c r="V76" s="6" t="n">
        <v>5</v>
      </c>
      <c r="W76" s="6"/>
      <c r="X76" s="6" t="s">
        <v>124</v>
      </c>
      <c r="Y76" s="7" t="s">
        <v>462</v>
      </c>
      <c r="Z76" s="8" t="s">
        <v>463</v>
      </c>
      <c r="AA76" s="8" t="s">
        <v>464</v>
      </c>
      <c r="AB76" s="8"/>
      <c r="AC76" s="8"/>
      <c r="AD76" s="8"/>
    </row>
    <row r="77" customFormat="false" ht="26.85" hidden="false" customHeight="false" outlineLevel="0" collapsed="false">
      <c r="A77" s="9" t="s">
        <v>465</v>
      </c>
      <c r="B77" s="10" t="s">
        <v>466</v>
      </c>
      <c r="C77" s="10" t="s">
        <v>467</v>
      </c>
      <c r="D77" s="10" t="s">
        <v>468</v>
      </c>
      <c r="E77" s="10" t="s">
        <v>318</v>
      </c>
      <c r="F77" s="9" t="n">
        <v>2</v>
      </c>
      <c r="G77" s="9" t="s">
        <v>47</v>
      </c>
      <c r="H77" s="9" t="s">
        <v>47</v>
      </c>
      <c r="I77" s="9"/>
      <c r="J77" s="9" t="s">
        <v>47</v>
      </c>
      <c r="K77" s="9"/>
      <c r="L77" s="9"/>
      <c r="M77" s="9"/>
      <c r="N77" s="9"/>
      <c r="O77" s="9"/>
      <c r="P77" s="9"/>
      <c r="Q77" s="9"/>
      <c r="R77" s="9"/>
      <c r="S77" s="9"/>
      <c r="T77" s="9" t="s">
        <v>47</v>
      </c>
      <c r="U77" s="10" t="s">
        <v>240</v>
      </c>
      <c r="V77" s="9" t="n">
        <v>5</v>
      </c>
      <c r="W77" s="9"/>
      <c r="X77" s="9" t="s">
        <v>124</v>
      </c>
      <c r="Y77" s="10"/>
      <c r="Z77" s="11" t="s">
        <v>469</v>
      </c>
      <c r="AA77" s="11" t="s">
        <v>470</v>
      </c>
      <c r="AB77" s="11"/>
      <c r="AC77" s="11" t="s">
        <v>145</v>
      </c>
      <c r="AD77" s="11"/>
    </row>
    <row r="78" customFormat="false" ht="26.85" hidden="false" customHeight="false" outlineLevel="0" collapsed="false">
      <c r="A78" s="6" t="s">
        <v>471</v>
      </c>
      <c r="B78" s="7" t="s">
        <v>472</v>
      </c>
      <c r="C78" s="7" t="s">
        <v>473</v>
      </c>
      <c r="D78" s="7" t="s">
        <v>474</v>
      </c>
      <c r="E78" s="7" t="s">
        <v>318</v>
      </c>
      <c r="F78" s="6" t="n">
        <v>2</v>
      </c>
      <c r="G78" s="6"/>
      <c r="H78" s="6" t="s">
        <v>47</v>
      </c>
      <c r="I78" s="6" t="s">
        <v>47</v>
      </c>
      <c r="J78" s="6" t="s">
        <v>47</v>
      </c>
      <c r="K78" s="6"/>
      <c r="L78" s="6"/>
      <c r="M78" s="6"/>
      <c r="N78" s="6"/>
      <c r="O78" s="6"/>
      <c r="P78" s="6"/>
      <c r="Q78" s="6"/>
      <c r="R78" s="6"/>
      <c r="S78" s="6"/>
      <c r="T78" s="6" t="s">
        <v>47</v>
      </c>
      <c r="U78" s="7" t="s">
        <v>240</v>
      </c>
      <c r="V78" s="6" t="n">
        <v>5</v>
      </c>
      <c r="W78" s="6"/>
      <c r="X78" s="6" t="s">
        <v>124</v>
      </c>
      <c r="Y78" s="7" t="s">
        <v>234</v>
      </c>
      <c r="Z78" s="8" t="s">
        <v>475</v>
      </c>
      <c r="AA78" s="8" t="s">
        <v>476</v>
      </c>
      <c r="AB78" s="8"/>
      <c r="AC78" s="8"/>
      <c r="AD78" s="8"/>
    </row>
    <row r="79" customFormat="false" ht="52.2" hidden="false" customHeight="false" outlineLevel="0" collapsed="false">
      <c r="A79" s="9" t="s">
        <v>477</v>
      </c>
      <c r="B79" s="10" t="s">
        <v>478</v>
      </c>
      <c r="C79" s="10" t="s">
        <v>479</v>
      </c>
      <c r="D79" s="10" t="s">
        <v>480</v>
      </c>
      <c r="E79" s="10" t="s">
        <v>318</v>
      </c>
      <c r="F79" s="9" t="n">
        <v>2</v>
      </c>
      <c r="G79" s="9" t="s">
        <v>47</v>
      </c>
      <c r="H79" s="9" t="s">
        <v>47</v>
      </c>
      <c r="I79" s="9"/>
      <c r="J79" s="9" t="s">
        <v>47</v>
      </c>
      <c r="K79" s="9"/>
      <c r="L79" s="9"/>
      <c r="M79" s="9"/>
      <c r="N79" s="9"/>
      <c r="O79" s="9"/>
      <c r="P79" s="9"/>
      <c r="Q79" s="9"/>
      <c r="R79" s="9"/>
      <c r="S79" s="9"/>
      <c r="T79" s="9" t="s">
        <v>47</v>
      </c>
      <c r="U79" s="10" t="s">
        <v>240</v>
      </c>
      <c r="V79" s="9" t="n">
        <v>5</v>
      </c>
      <c r="W79" s="9"/>
      <c r="X79" s="9" t="s">
        <v>124</v>
      </c>
      <c r="Y79" s="10" t="s">
        <v>234</v>
      </c>
      <c r="Z79" s="11" t="s">
        <v>481</v>
      </c>
      <c r="AA79" s="11" t="s">
        <v>482</v>
      </c>
      <c r="AB79" s="11" t="s">
        <v>266</v>
      </c>
      <c r="AC79" s="11"/>
      <c r="AD79" s="11"/>
    </row>
    <row r="80" customFormat="false" ht="26.85" hidden="false" customHeight="false" outlineLevel="0" collapsed="false">
      <c r="A80" s="6" t="s">
        <v>483</v>
      </c>
      <c r="B80" s="7" t="s">
        <v>484</v>
      </c>
      <c r="C80" s="7" t="s">
        <v>485</v>
      </c>
      <c r="D80" s="7" t="s">
        <v>486</v>
      </c>
      <c r="E80" s="7" t="s">
        <v>318</v>
      </c>
      <c r="F80" s="6" t="n">
        <v>3</v>
      </c>
      <c r="G80" s="6"/>
      <c r="H80" s="6"/>
      <c r="I80" s="6" t="s">
        <v>47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7" t="s">
        <v>240</v>
      </c>
      <c r="V80" s="6" t="n">
        <v>5</v>
      </c>
      <c r="W80" s="6"/>
      <c r="X80" s="6" t="s">
        <v>124</v>
      </c>
      <c r="Y80" s="7"/>
      <c r="Z80" s="8" t="s">
        <v>487</v>
      </c>
      <c r="AA80" s="8" t="s">
        <v>488</v>
      </c>
      <c r="AB80" s="8"/>
      <c r="AC80" s="8" t="s">
        <v>145</v>
      </c>
      <c r="AD80" s="8"/>
    </row>
    <row r="81" customFormat="false" ht="26.85" hidden="false" customHeight="false" outlineLevel="0" collapsed="false">
      <c r="A81" s="9" t="s">
        <v>489</v>
      </c>
      <c r="B81" s="10" t="s">
        <v>83</v>
      </c>
      <c r="C81" s="10" t="s">
        <v>490</v>
      </c>
      <c r="D81" s="10" t="s">
        <v>491</v>
      </c>
      <c r="E81" s="10" t="s">
        <v>240</v>
      </c>
      <c r="F81" s="9" t="n">
        <v>1</v>
      </c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 t="s">
        <v>47</v>
      </c>
      <c r="S81" s="9" t="s">
        <v>47</v>
      </c>
      <c r="T81" s="9"/>
      <c r="U81" s="10" t="s">
        <v>240</v>
      </c>
      <c r="V81" s="9" t="n">
        <v>5</v>
      </c>
      <c r="W81" s="9"/>
      <c r="X81" s="9" t="s">
        <v>124</v>
      </c>
      <c r="Y81" s="10" t="s">
        <v>156</v>
      </c>
      <c r="Z81" s="11" t="s">
        <v>492</v>
      </c>
      <c r="AA81" s="11"/>
      <c r="AB81" s="11"/>
      <c r="AC81" s="11"/>
      <c r="AD81" s="11"/>
    </row>
    <row r="82" customFormat="false" ht="26.85" hidden="false" customHeight="false" outlineLevel="0" collapsed="false">
      <c r="A82" s="6" t="s">
        <v>493</v>
      </c>
      <c r="B82" s="7" t="s">
        <v>83</v>
      </c>
      <c r="C82" s="7" t="s">
        <v>494</v>
      </c>
      <c r="D82" s="7" t="s">
        <v>495</v>
      </c>
      <c r="E82" s="7" t="s">
        <v>240</v>
      </c>
      <c r="F82" s="6" t="n">
        <v>1</v>
      </c>
      <c r="G82" s="6"/>
      <c r="H82" s="6"/>
      <c r="I82" s="6"/>
      <c r="J82" s="6"/>
      <c r="K82" s="6"/>
      <c r="L82" s="6"/>
      <c r="M82" s="6"/>
      <c r="N82" s="6"/>
      <c r="O82" s="6"/>
      <c r="P82" s="6" t="s">
        <v>47</v>
      </c>
      <c r="Q82" s="6" t="s">
        <v>47</v>
      </c>
      <c r="R82" s="6" t="s">
        <v>47</v>
      </c>
      <c r="S82" s="6"/>
      <c r="T82" s="6"/>
      <c r="U82" s="7" t="s">
        <v>240</v>
      </c>
      <c r="V82" s="6" t="n">
        <v>5</v>
      </c>
      <c r="W82" s="6"/>
      <c r="X82" s="6" t="s">
        <v>124</v>
      </c>
      <c r="Y82" s="7" t="s">
        <v>156</v>
      </c>
      <c r="Z82" s="8" t="s">
        <v>242</v>
      </c>
      <c r="AA82" s="8"/>
      <c r="AB82" s="8"/>
      <c r="AC82" s="8"/>
      <c r="AD82" s="8"/>
    </row>
    <row r="83" customFormat="false" ht="26.85" hidden="false" customHeight="false" outlineLevel="0" collapsed="false">
      <c r="A83" s="9" t="s">
        <v>496</v>
      </c>
      <c r="B83" s="10" t="s">
        <v>83</v>
      </c>
      <c r="C83" s="10" t="s">
        <v>497</v>
      </c>
      <c r="D83" s="10" t="s">
        <v>498</v>
      </c>
      <c r="E83" s="10" t="s">
        <v>240</v>
      </c>
      <c r="F83" s="9" t="n">
        <v>2</v>
      </c>
      <c r="G83" s="9"/>
      <c r="H83" s="9"/>
      <c r="I83" s="9"/>
      <c r="J83" s="9"/>
      <c r="K83" s="9"/>
      <c r="L83" s="9"/>
      <c r="M83" s="9"/>
      <c r="N83" s="9" t="s">
        <v>47</v>
      </c>
      <c r="O83" s="9"/>
      <c r="P83" s="9"/>
      <c r="Q83" s="9"/>
      <c r="R83" s="9"/>
      <c r="S83" s="9"/>
      <c r="T83" s="9"/>
      <c r="U83" s="10" t="s">
        <v>240</v>
      </c>
      <c r="V83" s="9"/>
      <c r="W83" s="9"/>
      <c r="X83" s="9" t="s">
        <v>124</v>
      </c>
      <c r="Y83" s="10"/>
      <c r="Z83" s="11" t="s">
        <v>499</v>
      </c>
      <c r="AA83" s="11" t="s">
        <v>370</v>
      </c>
      <c r="AB83" s="11"/>
      <c r="AC83" s="11"/>
      <c r="AD83" s="11"/>
    </row>
    <row r="84" customFormat="false" ht="15" hidden="false" customHeight="false" outlineLevel="0" collapsed="false">
      <c r="A84" s="6" t="s">
        <v>500</v>
      </c>
      <c r="B84" s="7" t="s">
        <v>83</v>
      </c>
      <c r="C84" s="7" t="s">
        <v>501</v>
      </c>
      <c r="D84" s="7" t="s">
        <v>502</v>
      </c>
      <c r="E84" s="7" t="s">
        <v>283</v>
      </c>
      <c r="F84" s="6" t="n">
        <v>2</v>
      </c>
      <c r="G84" s="6"/>
      <c r="H84" s="6"/>
      <c r="I84" s="6"/>
      <c r="J84" s="6"/>
      <c r="K84" s="6"/>
      <c r="L84" s="6"/>
      <c r="M84" s="6"/>
      <c r="N84" s="6" t="s">
        <v>47</v>
      </c>
      <c r="O84" s="6"/>
      <c r="P84" s="6"/>
      <c r="Q84" s="6"/>
      <c r="R84" s="6"/>
      <c r="S84" s="6"/>
      <c r="T84" s="6"/>
      <c r="U84" s="7" t="s">
        <v>240</v>
      </c>
      <c r="V84" s="6"/>
      <c r="W84" s="6"/>
      <c r="X84" s="6" t="s">
        <v>49</v>
      </c>
      <c r="Y84" s="7"/>
      <c r="Z84" s="8" t="s">
        <v>503</v>
      </c>
      <c r="AA84" s="8" t="s">
        <v>504</v>
      </c>
      <c r="AB84" s="8"/>
      <c r="AC84" s="8" t="s">
        <v>505</v>
      </c>
      <c r="AD84" s="8"/>
    </row>
    <row r="85" customFormat="false" ht="15" hidden="false" customHeight="false" outlineLevel="0" collapsed="false">
      <c r="A85" s="9" t="s">
        <v>506</v>
      </c>
      <c r="B85" s="10" t="s">
        <v>507</v>
      </c>
      <c r="C85" s="10" t="s">
        <v>508</v>
      </c>
      <c r="D85" s="10" t="s">
        <v>509</v>
      </c>
      <c r="E85" s="10" t="s">
        <v>216</v>
      </c>
      <c r="F85" s="9" t="n">
        <v>1</v>
      </c>
      <c r="G85" s="9" t="s">
        <v>47</v>
      </c>
      <c r="H85" s="9" t="s">
        <v>47</v>
      </c>
      <c r="I85" s="9"/>
      <c r="J85" s="9"/>
      <c r="K85" s="9"/>
      <c r="L85" s="9"/>
      <c r="M85" s="9"/>
      <c r="N85" s="9"/>
      <c r="O85" s="9"/>
      <c r="P85" s="9" t="s">
        <v>47</v>
      </c>
      <c r="Q85" s="9"/>
      <c r="R85" s="9" t="s">
        <v>47</v>
      </c>
      <c r="S85" s="9" t="s">
        <v>47</v>
      </c>
      <c r="T85" s="9"/>
      <c r="U85" s="10" t="s">
        <v>284</v>
      </c>
      <c r="V85" s="9" t="n">
        <v>3</v>
      </c>
      <c r="W85" s="9"/>
      <c r="X85" s="9" t="s">
        <v>124</v>
      </c>
      <c r="Y85" s="10"/>
      <c r="Z85" s="11" t="s">
        <v>217</v>
      </c>
      <c r="AA85" s="11"/>
      <c r="AB85" s="11"/>
      <c r="AC85" s="11"/>
      <c r="AD85" s="11"/>
    </row>
    <row r="86" customFormat="false" ht="26.85" hidden="false" customHeight="false" outlineLevel="0" collapsed="false">
      <c r="A86" s="6" t="s">
        <v>510</v>
      </c>
      <c r="B86" s="7" t="s">
        <v>511</v>
      </c>
      <c r="C86" s="7" t="s">
        <v>512</v>
      </c>
      <c r="D86" s="7" t="s">
        <v>513</v>
      </c>
      <c r="E86" s="7" t="s">
        <v>277</v>
      </c>
      <c r="F86" s="6" t="n">
        <v>1</v>
      </c>
      <c r="G86" s="6" t="s">
        <v>47</v>
      </c>
      <c r="H86" s="6" t="s">
        <v>47</v>
      </c>
      <c r="I86" s="6" t="s">
        <v>47</v>
      </c>
      <c r="J86" s="6" t="s">
        <v>47</v>
      </c>
      <c r="K86" s="6"/>
      <c r="L86" s="6"/>
      <c r="M86" s="6"/>
      <c r="N86" s="6"/>
      <c r="O86" s="6"/>
      <c r="P86" s="6"/>
      <c r="Q86" s="6"/>
      <c r="R86" s="6"/>
      <c r="S86" s="6"/>
      <c r="T86" s="6" t="s">
        <v>47</v>
      </c>
      <c r="U86" s="7" t="s">
        <v>284</v>
      </c>
      <c r="V86" s="6" t="n">
        <v>5</v>
      </c>
      <c r="W86" s="6"/>
      <c r="X86" s="6" t="s">
        <v>49</v>
      </c>
      <c r="Y86" s="7"/>
      <c r="Z86" s="8" t="s">
        <v>514</v>
      </c>
      <c r="AA86" s="8"/>
      <c r="AB86" s="8" t="s">
        <v>286</v>
      </c>
      <c r="AC86" s="8" t="s">
        <v>515</v>
      </c>
      <c r="AD86" s="8"/>
    </row>
    <row r="87" customFormat="false" ht="26.85" hidden="false" customHeight="false" outlineLevel="0" collapsed="false">
      <c r="A87" s="9" t="s">
        <v>516</v>
      </c>
      <c r="B87" s="10" t="s">
        <v>517</v>
      </c>
      <c r="C87" s="10" t="s">
        <v>518</v>
      </c>
      <c r="D87" s="10" t="s">
        <v>519</v>
      </c>
      <c r="E87" s="10" t="s">
        <v>277</v>
      </c>
      <c r="F87" s="9" t="n">
        <v>2</v>
      </c>
      <c r="G87" s="9"/>
      <c r="H87" s="9" t="s">
        <v>47</v>
      </c>
      <c r="I87" s="9" t="s">
        <v>47</v>
      </c>
      <c r="J87" s="9" t="s">
        <v>47</v>
      </c>
      <c r="K87" s="9"/>
      <c r="L87" s="9"/>
      <c r="M87" s="9"/>
      <c r="N87" s="9"/>
      <c r="O87" s="9"/>
      <c r="P87" s="9"/>
      <c r="Q87" s="9"/>
      <c r="R87" s="9"/>
      <c r="S87" s="9"/>
      <c r="T87" s="9" t="s">
        <v>47</v>
      </c>
      <c r="U87" s="10" t="s">
        <v>284</v>
      </c>
      <c r="V87" s="9" t="n">
        <v>1</v>
      </c>
      <c r="W87" s="9"/>
      <c r="X87" s="9" t="s">
        <v>49</v>
      </c>
      <c r="Y87" s="10"/>
      <c r="Z87" s="11" t="s">
        <v>520</v>
      </c>
      <c r="AA87" s="11" t="s">
        <v>521</v>
      </c>
      <c r="AB87" s="11" t="s">
        <v>286</v>
      </c>
      <c r="AC87" s="11" t="s">
        <v>522</v>
      </c>
      <c r="AD87" s="11"/>
    </row>
    <row r="88" customFormat="false" ht="26.85" hidden="false" customHeight="false" outlineLevel="0" collapsed="false">
      <c r="A88" s="6" t="s">
        <v>523</v>
      </c>
      <c r="B88" s="7" t="s">
        <v>83</v>
      </c>
      <c r="C88" s="7" t="s">
        <v>524</v>
      </c>
      <c r="D88" s="7" t="s">
        <v>525</v>
      </c>
      <c r="E88" s="7" t="s">
        <v>277</v>
      </c>
      <c r="F88" s="6" t="n">
        <v>1</v>
      </c>
      <c r="G88" s="6" t="s">
        <v>47</v>
      </c>
      <c r="H88" s="6" t="s">
        <v>47</v>
      </c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 t="s">
        <v>47</v>
      </c>
      <c r="U88" s="7" t="s">
        <v>150</v>
      </c>
      <c r="V88" s="6" t="n">
        <v>5</v>
      </c>
      <c r="W88" s="6"/>
      <c r="X88" s="6" t="s">
        <v>49</v>
      </c>
      <c r="Y88" s="7"/>
      <c r="Z88" s="8" t="s">
        <v>526</v>
      </c>
      <c r="AA88" s="8"/>
      <c r="AB88" s="8"/>
      <c r="AC88" s="8"/>
      <c r="AD88" s="8"/>
    </row>
    <row r="89" customFormat="false" ht="39.55" hidden="false" customHeight="false" outlineLevel="0" collapsed="false">
      <c r="A89" s="9" t="s">
        <v>527</v>
      </c>
      <c r="B89" s="10" t="s">
        <v>528</v>
      </c>
      <c r="C89" s="10" t="s">
        <v>529</v>
      </c>
      <c r="D89" s="10" t="s">
        <v>530</v>
      </c>
      <c r="E89" s="10" t="s">
        <v>277</v>
      </c>
      <c r="F89" s="9" t="n">
        <v>2</v>
      </c>
      <c r="G89" s="9" t="s">
        <v>47</v>
      </c>
      <c r="H89" s="9" t="s">
        <v>47</v>
      </c>
      <c r="I89" s="9"/>
      <c r="J89" s="9" t="s">
        <v>47</v>
      </c>
      <c r="K89" s="9"/>
      <c r="L89" s="9"/>
      <c r="M89" s="9"/>
      <c r="N89" s="9"/>
      <c r="O89" s="9"/>
      <c r="P89" s="9"/>
      <c r="Q89" s="9"/>
      <c r="R89" s="9"/>
      <c r="S89" s="9"/>
      <c r="T89" s="9" t="s">
        <v>47</v>
      </c>
      <c r="U89" s="10" t="s">
        <v>240</v>
      </c>
      <c r="V89" s="9" t="n">
        <v>5</v>
      </c>
      <c r="W89" s="9"/>
      <c r="X89" s="9" t="s">
        <v>124</v>
      </c>
      <c r="Y89" s="10"/>
      <c r="Z89" s="11" t="s">
        <v>531</v>
      </c>
      <c r="AA89" s="11" t="s">
        <v>532</v>
      </c>
      <c r="AB89" s="11" t="s">
        <v>286</v>
      </c>
      <c r="AC89" s="11"/>
      <c r="AD89" s="11"/>
    </row>
    <row r="90" customFormat="false" ht="26.85" hidden="false" customHeight="false" outlineLevel="0" collapsed="false">
      <c r="A90" s="6" t="s">
        <v>533</v>
      </c>
      <c r="B90" s="7" t="s">
        <v>534</v>
      </c>
      <c r="C90" s="7" t="s">
        <v>535</v>
      </c>
      <c r="D90" s="7" t="s">
        <v>536</v>
      </c>
      <c r="E90" s="7" t="s">
        <v>277</v>
      </c>
      <c r="F90" s="6" t="n">
        <v>1</v>
      </c>
      <c r="G90" s="6" t="s">
        <v>47</v>
      </c>
      <c r="H90" s="6" t="s">
        <v>47</v>
      </c>
      <c r="I90" s="6"/>
      <c r="J90" s="6"/>
      <c r="K90" s="6"/>
      <c r="L90" s="6"/>
      <c r="M90" s="6"/>
      <c r="N90" s="6"/>
      <c r="O90" s="6"/>
      <c r="P90" s="6"/>
      <c r="Q90" s="6" t="s">
        <v>47</v>
      </c>
      <c r="R90" s="6"/>
      <c r="S90" s="6" t="s">
        <v>47</v>
      </c>
      <c r="T90" s="6"/>
      <c r="U90" s="7" t="s">
        <v>150</v>
      </c>
      <c r="V90" s="6" t="n">
        <v>5</v>
      </c>
      <c r="W90" s="6"/>
      <c r="X90" s="6" t="s">
        <v>124</v>
      </c>
      <c r="Y90" s="7"/>
      <c r="Z90" s="8" t="s">
        <v>537</v>
      </c>
      <c r="AA90" s="8"/>
      <c r="AB90" s="8"/>
      <c r="AC90" s="8"/>
      <c r="AD90" s="8"/>
    </row>
    <row r="91" customFormat="false" ht="39.55" hidden="false" customHeight="false" outlineLevel="0" collapsed="false">
      <c r="A91" s="9" t="s">
        <v>538</v>
      </c>
      <c r="B91" s="10" t="s">
        <v>539</v>
      </c>
      <c r="C91" s="10" t="s">
        <v>540</v>
      </c>
      <c r="D91" s="10" t="s">
        <v>541</v>
      </c>
      <c r="E91" s="10" t="s">
        <v>277</v>
      </c>
      <c r="F91" s="9" t="n">
        <v>2</v>
      </c>
      <c r="G91" s="9" t="s">
        <v>47</v>
      </c>
      <c r="H91" s="9" t="s">
        <v>47</v>
      </c>
      <c r="I91" s="9" t="s">
        <v>47</v>
      </c>
      <c r="J91" s="9" t="s">
        <v>47</v>
      </c>
      <c r="K91" s="9"/>
      <c r="L91" s="9"/>
      <c r="M91" s="9"/>
      <c r="N91" s="9"/>
      <c r="O91" s="9"/>
      <c r="P91" s="9"/>
      <c r="Q91" s="9"/>
      <c r="R91" s="9"/>
      <c r="S91" s="9"/>
      <c r="T91" s="9" t="s">
        <v>47</v>
      </c>
      <c r="U91" s="10" t="s">
        <v>150</v>
      </c>
      <c r="V91" s="9" t="n">
        <v>5</v>
      </c>
      <c r="W91" s="9"/>
      <c r="X91" s="9" t="s">
        <v>49</v>
      </c>
      <c r="Y91" s="10"/>
      <c r="Z91" s="11" t="s">
        <v>542</v>
      </c>
      <c r="AA91" s="11" t="s">
        <v>543</v>
      </c>
      <c r="AB91" s="11" t="s">
        <v>544</v>
      </c>
      <c r="AC91" s="11" t="s">
        <v>545</v>
      </c>
      <c r="AD91" s="11"/>
    </row>
    <row r="92" customFormat="false" ht="26.85" hidden="false" customHeight="false" outlineLevel="0" collapsed="false">
      <c r="A92" s="6" t="s">
        <v>546</v>
      </c>
      <c r="B92" s="7" t="s">
        <v>547</v>
      </c>
      <c r="C92" s="7" t="s">
        <v>548</v>
      </c>
      <c r="D92" s="7" t="s">
        <v>549</v>
      </c>
      <c r="E92" s="7" t="s">
        <v>277</v>
      </c>
      <c r="F92" s="6" t="n">
        <v>1</v>
      </c>
      <c r="G92" s="6" t="s">
        <v>47</v>
      </c>
      <c r="H92" s="6" t="s">
        <v>47</v>
      </c>
      <c r="I92" s="6"/>
      <c r="J92" s="6"/>
      <c r="K92" s="6"/>
      <c r="L92" s="6"/>
      <c r="M92" s="6"/>
      <c r="N92" s="6"/>
      <c r="O92" s="6"/>
      <c r="P92" s="6"/>
      <c r="Q92" s="6"/>
      <c r="R92" s="6"/>
      <c r="S92" s="6" t="s">
        <v>47</v>
      </c>
      <c r="T92" s="6"/>
      <c r="U92" s="7" t="s">
        <v>150</v>
      </c>
      <c r="V92" s="6" t="n">
        <v>5</v>
      </c>
      <c r="W92" s="6"/>
      <c r="X92" s="6" t="s">
        <v>49</v>
      </c>
      <c r="Y92" s="7"/>
      <c r="Z92" s="8" t="s">
        <v>550</v>
      </c>
      <c r="AA92" s="8"/>
      <c r="AB92" s="8" t="s">
        <v>354</v>
      </c>
      <c r="AC92" s="8" t="s">
        <v>551</v>
      </c>
      <c r="AD92" s="8"/>
    </row>
    <row r="93" customFormat="false" ht="26.85" hidden="false" customHeight="false" outlineLevel="0" collapsed="false">
      <c r="A93" s="9" t="s">
        <v>552</v>
      </c>
      <c r="B93" s="10" t="s">
        <v>83</v>
      </c>
      <c r="C93" s="10" t="s">
        <v>553</v>
      </c>
      <c r="D93" s="10" t="s">
        <v>554</v>
      </c>
      <c r="E93" s="10" t="s">
        <v>277</v>
      </c>
      <c r="F93" s="9" t="n">
        <v>1</v>
      </c>
      <c r="G93" s="9"/>
      <c r="H93" s="9"/>
      <c r="I93" s="9"/>
      <c r="J93" s="9"/>
      <c r="K93" s="9"/>
      <c r="L93" s="9"/>
      <c r="M93" s="9"/>
      <c r="N93" s="9"/>
      <c r="O93" s="9" t="s">
        <v>47</v>
      </c>
      <c r="P93" s="9" t="s">
        <v>47</v>
      </c>
      <c r="Q93" s="9" t="s">
        <v>47</v>
      </c>
      <c r="R93" s="9"/>
      <c r="S93" s="9" t="s">
        <v>47</v>
      </c>
      <c r="T93" s="9"/>
      <c r="U93" s="10" t="s">
        <v>150</v>
      </c>
      <c r="V93" s="9" t="n">
        <v>5</v>
      </c>
      <c r="W93" s="9"/>
      <c r="X93" s="9" t="s">
        <v>49</v>
      </c>
      <c r="Y93" s="10"/>
      <c r="Z93" s="11" t="s">
        <v>555</v>
      </c>
      <c r="AA93" s="11"/>
      <c r="AB93" s="11"/>
      <c r="AC93" s="11" t="s">
        <v>556</v>
      </c>
      <c r="AD93" s="11"/>
    </row>
    <row r="94" customFormat="false" ht="26.85" hidden="false" customHeight="false" outlineLevel="0" collapsed="false">
      <c r="A94" s="6" t="s">
        <v>557</v>
      </c>
      <c r="B94" s="7" t="s">
        <v>558</v>
      </c>
      <c r="C94" s="7" t="s">
        <v>559</v>
      </c>
      <c r="D94" s="7" t="s">
        <v>560</v>
      </c>
      <c r="E94" s="7" t="s">
        <v>561</v>
      </c>
      <c r="F94" s="6" t="n">
        <v>2</v>
      </c>
      <c r="G94" s="6" t="s">
        <v>47</v>
      </c>
      <c r="H94" s="6"/>
      <c r="I94" s="6" t="s">
        <v>47</v>
      </c>
      <c r="J94" s="6" t="s">
        <v>47</v>
      </c>
      <c r="K94" s="6"/>
      <c r="L94" s="6"/>
      <c r="M94" s="6"/>
      <c r="N94" s="6"/>
      <c r="O94" s="6"/>
      <c r="P94" s="6"/>
      <c r="Q94" s="6"/>
      <c r="R94" s="6"/>
      <c r="S94" s="6"/>
      <c r="T94" s="6" t="s">
        <v>47</v>
      </c>
      <c r="U94" s="7" t="s">
        <v>150</v>
      </c>
      <c r="V94" s="6" t="n">
        <v>5</v>
      </c>
      <c r="W94" s="6"/>
      <c r="X94" s="6" t="s">
        <v>49</v>
      </c>
      <c r="Y94" s="7"/>
      <c r="Z94" s="8" t="s">
        <v>562</v>
      </c>
      <c r="AA94" s="8" t="s">
        <v>563</v>
      </c>
      <c r="AB94" s="8" t="s">
        <v>564</v>
      </c>
      <c r="AC94" s="8" t="s">
        <v>565</v>
      </c>
      <c r="AD94" s="8"/>
    </row>
    <row r="95" customFormat="false" ht="26.85" hidden="false" customHeight="false" outlineLevel="0" collapsed="false">
      <c r="A95" s="9" t="s">
        <v>566</v>
      </c>
      <c r="B95" s="10" t="s">
        <v>567</v>
      </c>
      <c r="C95" s="10" t="s">
        <v>338</v>
      </c>
      <c r="D95" s="10" t="s">
        <v>568</v>
      </c>
      <c r="E95" s="10" t="s">
        <v>561</v>
      </c>
      <c r="F95" s="9" t="n">
        <v>1</v>
      </c>
      <c r="G95" s="9" t="s">
        <v>47</v>
      </c>
      <c r="H95" s="9" t="s">
        <v>47</v>
      </c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 t="s">
        <v>47</v>
      </c>
      <c r="U95" s="10" t="s">
        <v>150</v>
      </c>
      <c r="V95" s="9" t="n">
        <v>5</v>
      </c>
      <c r="W95" s="9"/>
      <c r="X95" s="9" t="s">
        <v>49</v>
      </c>
      <c r="Y95" s="10"/>
      <c r="Z95" s="11" t="s">
        <v>569</v>
      </c>
      <c r="AA95" s="11"/>
      <c r="AB95" s="11" t="s">
        <v>564</v>
      </c>
      <c r="AC95" s="11"/>
      <c r="AD95" s="11"/>
    </row>
    <row r="96" customFormat="false" ht="26.85" hidden="false" customHeight="false" outlineLevel="0" collapsed="false">
      <c r="A96" s="6" t="s">
        <v>570</v>
      </c>
      <c r="B96" s="7" t="s">
        <v>83</v>
      </c>
      <c r="C96" s="7" t="s">
        <v>571</v>
      </c>
      <c r="D96" s="7" t="s">
        <v>572</v>
      </c>
      <c r="E96" s="7" t="s">
        <v>277</v>
      </c>
      <c r="F96" s="6" t="n">
        <v>2</v>
      </c>
      <c r="G96" s="6"/>
      <c r="H96" s="6"/>
      <c r="I96" s="6"/>
      <c r="J96" s="6"/>
      <c r="K96" s="6"/>
      <c r="L96" s="6"/>
      <c r="M96" s="6"/>
      <c r="N96" s="6" t="s">
        <v>47</v>
      </c>
      <c r="O96" s="6"/>
      <c r="P96" s="6"/>
      <c r="Q96" s="6"/>
      <c r="R96" s="6"/>
      <c r="S96" s="6"/>
      <c r="T96" s="6"/>
      <c r="U96" s="7" t="s">
        <v>150</v>
      </c>
      <c r="V96" s="6"/>
      <c r="W96" s="6"/>
      <c r="X96" s="6" t="s">
        <v>49</v>
      </c>
      <c r="Y96" s="7"/>
      <c r="Z96" s="8" t="s">
        <v>573</v>
      </c>
      <c r="AA96" s="8" t="s">
        <v>574</v>
      </c>
      <c r="AB96" s="8"/>
      <c r="AC96" s="8" t="s">
        <v>575</v>
      </c>
      <c r="AD96" s="8"/>
    </row>
    <row r="97" customFormat="false" ht="39.55" hidden="false" customHeight="false" outlineLevel="0" collapsed="false">
      <c r="A97" s="9" t="s">
        <v>576</v>
      </c>
      <c r="B97" s="10" t="s">
        <v>577</v>
      </c>
      <c r="C97" s="10" t="s">
        <v>578</v>
      </c>
      <c r="D97" s="10" t="s">
        <v>579</v>
      </c>
      <c r="E97" s="10" t="s">
        <v>580</v>
      </c>
      <c r="F97" s="9" t="n">
        <v>2</v>
      </c>
      <c r="G97" s="9" t="s">
        <v>47</v>
      </c>
      <c r="H97" s="9" t="s">
        <v>47</v>
      </c>
      <c r="I97" s="9" t="s">
        <v>47</v>
      </c>
      <c r="J97" s="9" t="s">
        <v>47</v>
      </c>
      <c r="K97" s="9" t="s">
        <v>47</v>
      </c>
      <c r="L97" s="9"/>
      <c r="M97" s="9"/>
      <c r="N97" s="9"/>
      <c r="O97" s="9"/>
      <c r="P97" s="9"/>
      <c r="Q97" s="9"/>
      <c r="R97" s="9"/>
      <c r="S97" s="9"/>
      <c r="T97" s="9" t="s">
        <v>47</v>
      </c>
      <c r="U97" s="10" t="s">
        <v>581</v>
      </c>
      <c r="V97" s="9" t="n">
        <v>5</v>
      </c>
      <c r="W97" s="9"/>
      <c r="X97" s="9" t="s">
        <v>49</v>
      </c>
      <c r="Y97" s="10" t="s">
        <v>143</v>
      </c>
      <c r="Z97" s="11" t="s">
        <v>582</v>
      </c>
      <c r="AA97" s="11" t="s">
        <v>583</v>
      </c>
      <c r="AB97" s="11" t="s">
        <v>584</v>
      </c>
      <c r="AC97" s="11" t="s">
        <v>585</v>
      </c>
      <c r="AD97" s="11"/>
    </row>
    <row r="98" customFormat="false" ht="39.55" hidden="false" customHeight="false" outlineLevel="0" collapsed="false">
      <c r="A98" s="6" t="s">
        <v>586</v>
      </c>
      <c r="B98" s="7" t="s">
        <v>587</v>
      </c>
      <c r="C98" s="7" t="s">
        <v>588</v>
      </c>
      <c r="D98" s="7" t="s">
        <v>589</v>
      </c>
      <c r="E98" s="7" t="s">
        <v>580</v>
      </c>
      <c r="F98" s="6" t="n">
        <v>3</v>
      </c>
      <c r="G98" s="6"/>
      <c r="H98" s="6" t="s">
        <v>47</v>
      </c>
      <c r="I98" s="6"/>
      <c r="J98" s="6" t="s">
        <v>47</v>
      </c>
      <c r="K98" s="6"/>
      <c r="L98" s="6"/>
      <c r="M98" s="6"/>
      <c r="N98" s="6"/>
      <c r="O98" s="6"/>
      <c r="P98" s="6"/>
      <c r="Q98" s="6"/>
      <c r="R98" s="6"/>
      <c r="S98" s="6"/>
      <c r="T98" s="6" t="s">
        <v>47</v>
      </c>
      <c r="U98" s="7" t="s">
        <v>581</v>
      </c>
      <c r="V98" s="6" t="n">
        <v>5</v>
      </c>
      <c r="W98" s="6"/>
      <c r="X98" s="6" t="s">
        <v>124</v>
      </c>
      <c r="Y98" s="7"/>
      <c r="Z98" s="8" t="s">
        <v>590</v>
      </c>
      <c r="AA98" s="8" t="s">
        <v>591</v>
      </c>
      <c r="AB98" s="8" t="s">
        <v>286</v>
      </c>
      <c r="AC98" s="8"/>
      <c r="AD98" s="8"/>
    </row>
    <row r="99" customFormat="false" ht="39.55" hidden="false" customHeight="false" outlineLevel="0" collapsed="false">
      <c r="A99" s="9" t="s">
        <v>592</v>
      </c>
      <c r="B99" s="10" t="s">
        <v>593</v>
      </c>
      <c r="C99" s="10" t="s">
        <v>594</v>
      </c>
      <c r="D99" s="10" t="s">
        <v>595</v>
      </c>
      <c r="E99" s="10" t="s">
        <v>580</v>
      </c>
      <c r="F99" s="9" t="n">
        <v>3</v>
      </c>
      <c r="G99" s="9"/>
      <c r="H99" s="9"/>
      <c r="I99" s="9" t="s">
        <v>47</v>
      </c>
      <c r="J99" s="9" t="s">
        <v>47</v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10" t="s">
        <v>581</v>
      </c>
      <c r="V99" s="9" t="n">
        <v>5</v>
      </c>
      <c r="W99" s="9"/>
      <c r="X99" s="9" t="s">
        <v>49</v>
      </c>
      <c r="Y99" s="10"/>
      <c r="Z99" s="11" t="s">
        <v>596</v>
      </c>
      <c r="AA99" s="11" t="s">
        <v>597</v>
      </c>
      <c r="AB99" s="11" t="s">
        <v>286</v>
      </c>
      <c r="AC99" s="11"/>
      <c r="AD99" s="11"/>
    </row>
    <row r="100" customFormat="false" ht="39.55" hidden="false" customHeight="false" outlineLevel="0" collapsed="false">
      <c r="A100" s="6" t="s">
        <v>598</v>
      </c>
      <c r="B100" s="7" t="s">
        <v>599</v>
      </c>
      <c r="C100" s="7" t="s">
        <v>600</v>
      </c>
      <c r="D100" s="7" t="s">
        <v>601</v>
      </c>
      <c r="E100" s="7" t="s">
        <v>580</v>
      </c>
      <c r="F100" s="6" t="n">
        <v>3</v>
      </c>
      <c r="G100" s="6"/>
      <c r="H100" s="6" t="s">
        <v>47</v>
      </c>
      <c r="I100" s="6"/>
      <c r="J100" s="6" t="s">
        <v>47</v>
      </c>
      <c r="K100" s="6"/>
      <c r="L100" s="6"/>
      <c r="M100" s="6"/>
      <c r="N100" s="6"/>
      <c r="O100" s="6"/>
      <c r="P100" s="6"/>
      <c r="Q100" s="6"/>
      <c r="R100" s="6"/>
      <c r="S100" s="6"/>
      <c r="T100" s="6" t="s">
        <v>47</v>
      </c>
      <c r="U100" s="7" t="s">
        <v>581</v>
      </c>
      <c r="V100" s="6" t="n">
        <v>5</v>
      </c>
      <c r="W100" s="6"/>
      <c r="X100" s="6" t="s">
        <v>49</v>
      </c>
      <c r="Y100" s="7"/>
      <c r="Z100" s="8" t="s">
        <v>602</v>
      </c>
      <c r="AA100" s="8" t="s">
        <v>603</v>
      </c>
      <c r="AB100" s="8" t="s">
        <v>286</v>
      </c>
      <c r="AC100" s="8"/>
      <c r="AD100" s="8"/>
    </row>
    <row r="101" customFormat="false" ht="39.55" hidden="false" customHeight="false" outlineLevel="0" collapsed="false">
      <c r="A101" s="9" t="s">
        <v>604</v>
      </c>
      <c r="B101" s="10" t="s">
        <v>605</v>
      </c>
      <c r="C101" s="10" t="s">
        <v>606</v>
      </c>
      <c r="D101" s="10" t="s">
        <v>607</v>
      </c>
      <c r="E101" s="10" t="s">
        <v>580</v>
      </c>
      <c r="F101" s="9" t="n">
        <v>3</v>
      </c>
      <c r="G101" s="9"/>
      <c r="H101" s="9" t="s">
        <v>47</v>
      </c>
      <c r="I101" s="9"/>
      <c r="J101" s="9" t="s">
        <v>47</v>
      </c>
      <c r="K101" s="9"/>
      <c r="L101" s="9"/>
      <c r="M101" s="9"/>
      <c r="N101" s="9"/>
      <c r="O101" s="9"/>
      <c r="P101" s="9"/>
      <c r="Q101" s="9"/>
      <c r="R101" s="9"/>
      <c r="S101" s="9"/>
      <c r="T101" s="9" t="s">
        <v>47</v>
      </c>
      <c r="U101" s="10" t="s">
        <v>581</v>
      </c>
      <c r="V101" s="9" t="n">
        <v>5</v>
      </c>
      <c r="W101" s="9"/>
      <c r="X101" s="9" t="s">
        <v>124</v>
      </c>
      <c r="Y101" s="10"/>
      <c r="Z101" s="11" t="s">
        <v>608</v>
      </c>
      <c r="AA101" s="11" t="s">
        <v>609</v>
      </c>
      <c r="AB101" s="11" t="s">
        <v>286</v>
      </c>
      <c r="AC101" s="11"/>
      <c r="AD101" s="11"/>
    </row>
    <row r="102" customFormat="false" ht="39.55" hidden="false" customHeight="false" outlineLevel="0" collapsed="false">
      <c r="A102" s="6" t="s">
        <v>610</v>
      </c>
      <c r="B102" s="7" t="s">
        <v>611</v>
      </c>
      <c r="C102" s="7" t="s">
        <v>612</v>
      </c>
      <c r="D102" s="7" t="s">
        <v>613</v>
      </c>
      <c r="E102" s="7" t="s">
        <v>580</v>
      </c>
      <c r="F102" s="6" t="n">
        <v>3</v>
      </c>
      <c r="G102" s="6"/>
      <c r="H102" s="6" t="s">
        <v>47</v>
      </c>
      <c r="I102" s="6"/>
      <c r="J102" s="6" t="s">
        <v>47</v>
      </c>
      <c r="K102" s="6"/>
      <c r="L102" s="6"/>
      <c r="M102" s="6"/>
      <c r="N102" s="6"/>
      <c r="O102" s="6"/>
      <c r="P102" s="6"/>
      <c r="Q102" s="6"/>
      <c r="R102" s="6"/>
      <c r="S102" s="6"/>
      <c r="T102" s="6" t="s">
        <v>47</v>
      </c>
      <c r="U102" s="7" t="s">
        <v>581</v>
      </c>
      <c r="V102" s="6" t="n">
        <v>5</v>
      </c>
      <c r="W102" s="6"/>
      <c r="X102" s="6" t="s">
        <v>124</v>
      </c>
      <c r="Y102" s="7"/>
      <c r="Z102" s="8" t="s">
        <v>608</v>
      </c>
      <c r="AA102" s="8" t="s">
        <v>614</v>
      </c>
      <c r="AB102" s="8" t="s">
        <v>286</v>
      </c>
      <c r="AC102" s="8"/>
      <c r="AD102" s="8"/>
    </row>
    <row r="103" customFormat="false" ht="39.55" hidden="false" customHeight="false" outlineLevel="0" collapsed="false">
      <c r="A103" s="9" t="s">
        <v>615</v>
      </c>
      <c r="B103" s="10" t="s">
        <v>616</v>
      </c>
      <c r="C103" s="10" t="s">
        <v>617</v>
      </c>
      <c r="D103" s="10" t="s">
        <v>618</v>
      </c>
      <c r="E103" s="10" t="s">
        <v>580</v>
      </c>
      <c r="F103" s="9" t="n">
        <v>3</v>
      </c>
      <c r="G103" s="9"/>
      <c r="H103" s="9"/>
      <c r="I103" s="9" t="s">
        <v>47</v>
      </c>
      <c r="J103" s="9" t="s">
        <v>47</v>
      </c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10" t="s">
        <v>581</v>
      </c>
      <c r="V103" s="9" t="n">
        <v>5</v>
      </c>
      <c r="W103" s="9"/>
      <c r="X103" s="9" t="s">
        <v>49</v>
      </c>
      <c r="Y103" s="10"/>
      <c r="Z103" s="11" t="s">
        <v>582</v>
      </c>
      <c r="AA103" s="11" t="s">
        <v>619</v>
      </c>
      <c r="AB103" s="11" t="s">
        <v>286</v>
      </c>
      <c r="AC103" s="11"/>
      <c r="AD103" s="11"/>
    </row>
    <row r="104" customFormat="false" ht="26.85" hidden="false" customHeight="false" outlineLevel="0" collapsed="false">
      <c r="A104" s="6" t="s">
        <v>620</v>
      </c>
      <c r="B104" s="7" t="s">
        <v>621</v>
      </c>
      <c r="C104" s="7" t="s">
        <v>622</v>
      </c>
      <c r="D104" s="7" t="s">
        <v>623</v>
      </c>
      <c r="E104" s="7" t="s">
        <v>580</v>
      </c>
      <c r="F104" s="6" t="n">
        <v>3</v>
      </c>
      <c r="G104" s="6"/>
      <c r="H104" s="6"/>
      <c r="I104" s="6" t="s">
        <v>47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 t="s">
        <v>47</v>
      </c>
      <c r="U104" s="7" t="s">
        <v>581</v>
      </c>
      <c r="V104" s="6" t="n">
        <v>3</v>
      </c>
      <c r="W104" s="6"/>
      <c r="X104" s="6" t="s">
        <v>49</v>
      </c>
      <c r="Y104" s="7"/>
      <c r="Z104" s="8" t="s">
        <v>624</v>
      </c>
      <c r="AA104" s="8" t="s">
        <v>625</v>
      </c>
      <c r="AB104" s="8" t="s">
        <v>286</v>
      </c>
      <c r="AC104" s="8"/>
      <c r="AD104" s="8"/>
    </row>
    <row r="105" customFormat="false" ht="26.85" hidden="false" customHeight="false" outlineLevel="0" collapsed="false">
      <c r="A105" s="9" t="s">
        <v>626</v>
      </c>
      <c r="B105" s="10" t="s">
        <v>627</v>
      </c>
      <c r="C105" s="10" t="s">
        <v>628</v>
      </c>
      <c r="D105" s="10" t="s">
        <v>629</v>
      </c>
      <c r="E105" s="10" t="s">
        <v>580</v>
      </c>
      <c r="F105" s="9" t="n">
        <v>3</v>
      </c>
      <c r="G105" s="9" t="s">
        <v>47</v>
      </c>
      <c r="H105" s="9"/>
      <c r="I105" s="9"/>
      <c r="J105" s="9" t="s">
        <v>47</v>
      </c>
      <c r="K105" s="9" t="s">
        <v>47</v>
      </c>
      <c r="L105" s="9"/>
      <c r="M105" s="9"/>
      <c r="N105" s="9"/>
      <c r="O105" s="9"/>
      <c r="P105" s="9"/>
      <c r="Q105" s="9"/>
      <c r="R105" s="9"/>
      <c r="S105" s="9"/>
      <c r="T105" s="9"/>
      <c r="U105" s="10" t="s">
        <v>581</v>
      </c>
      <c r="V105" s="9" t="n">
        <v>3</v>
      </c>
      <c r="W105" s="9"/>
      <c r="X105" s="9" t="s">
        <v>49</v>
      </c>
      <c r="Y105" s="10"/>
      <c r="Z105" s="11" t="s">
        <v>624</v>
      </c>
      <c r="AA105" s="11" t="s">
        <v>630</v>
      </c>
      <c r="AB105" s="11" t="s">
        <v>286</v>
      </c>
      <c r="AC105" s="11" t="s">
        <v>631</v>
      </c>
      <c r="AD105" s="11"/>
    </row>
    <row r="106" customFormat="false" ht="26.85" hidden="false" customHeight="false" outlineLevel="0" collapsed="false">
      <c r="A106" s="6" t="s">
        <v>632</v>
      </c>
      <c r="B106" s="7" t="s">
        <v>633</v>
      </c>
      <c r="C106" s="7" t="s">
        <v>634</v>
      </c>
      <c r="D106" s="7" t="s">
        <v>635</v>
      </c>
      <c r="E106" s="7" t="s">
        <v>580</v>
      </c>
      <c r="F106" s="6" t="n">
        <v>3</v>
      </c>
      <c r="G106" s="6"/>
      <c r="H106" s="6"/>
      <c r="I106" s="6" t="s">
        <v>47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7" t="s">
        <v>581</v>
      </c>
      <c r="V106" s="6" t="n">
        <v>5</v>
      </c>
      <c r="W106" s="6"/>
      <c r="X106" s="6" t="s">
        <v>49</v>
      </c>
      <c r="Y106" s="7"/>
      <c r="Z106" s="8" t="s">
        <v>636</v>
      </c>
      <c r="AA106" s="8" t="s">
        <v>637</v>
      </c>
      <c r="AB106" s="8" t="s">
        <v>286</v>
      </c>
      <c r="AC106" s="8"/>
      <c r="AD106" s="8"/>
    </row>
    <row r="107" customFormat="false" ht="26.85" hidden="false" customHeight="false" outlineLevel="0" collapsed="false">
      <c r="A107" s="9" t="s">
        <v>638</v>
      </c>
      <c r="B107" s="10" t="s">
        <v>639</v>
      </c>
      <c r="C107" s="10" t="s">
        <v>640</v>
      </c>
      <c r="D107" s="10" t="s">
        <v>641</v>
      </c>
      <c r="E107" s="10" t="s">
        <v>103</v>
      </c>
      <c r="F107" s="9" t="n">
        <v>3</v>
      </c>
      <c r="G107" s="9"/>
      <c r="H107" s="9"/>
      <c r="I107" s="9" t="s">
        <v>47</v>
      </c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10" t="s">
        <v>150</v>
      </c>
      <c r="V107" s="9" t="n">
        <v>5</v>
      </c>
      <c r="W107" s="9"/>
      <c r="X107" s="9" t="s">
        <v>49</v>
      </c>
      <c r="Y107" s="10"/>
      <c r="Z107" s="11" t="s">
        <v>642</v>
      </c>
      <c r="AA107" s="11" t="s">
        <v>619</v>
      </c>
      <c r="AB107" s="11"/>
      <c r="AC107" s="11" t="s">
        <v>145</v>
      </c>
      <c r="AD107" s="11"/>
    </row>
    <row r="108" customFormat="false" ht="39.55" hidden="false" customHeight="false" outlineLevel="0" collapsed="false">
      <c r="A108" s="6" t="s">
        <v>643</v>
      </c>
      <c r="B108" s="7" t="s">
        <v>644</v>
      </c>
      <c r="C108" s="7" t="s">
        <v>244</v>
      </c>
      <c r="D108" s="7" t="s">
        <v>645</v>
      </c>
      <c r="E108" s="7" t="s">
        <v>646</v>
      </c>
      <c r="F108" s="6" t="n">
        <v>1</v>
      </c>
      <c r="G108" s="6" t="s">
        <v>47</v>
      </c>
      <c r="H108" s="6" t="s">
        <v>47</v>
      </c>
      <c r="I108" s="6" t="s">
        <v>47</v>
      </c>
      <c r="J108" s="6" t="s">
        <v>47</v>
      </c>
      <c r="K108" s="6" t="s">
        <v>47</v>
      </c>
      <c r="L108" s="6"/>
      <c r="M108" s="6"/>
      <c r="N108" s="6"/>
      <c r="O108" s="6"/>
      <c r="P108" s="6"/>
      <c r="Q108" s="6" t="s">
        <v>47</v>
      </c>
      <c r="R108" s="6"/>
      <c r="S108" s="6" t="s">
        <v>47</v>
      </c>
      <c r="T108" s="6" t="s">
        <v>47</v>
      </c>
      <c r="U108" s="7" t="s">
        <v>284</v>
      </c>
      <c r="V108" s="6" t="n">
        <v>5</v>
      </c>
      <c r="W108" s="6"/>
      <c r="X108" s="6" t="s">
        <v>49</v>
      </c>
      <c r="Y108" s="7"/>
      <c r="Z108" s="8" t="s">
        <v>647</v>
      </c>
      <c r="AA108" s="8" t="s">
        <v>648</v>
      </c>
      <c r="AB108" s="8" t="s">
        <v>286</v>
      </c>
      <c r="AC108" s="8" t="s">
        <v>649</v>
      </c>
      <c r="AD108" s="8"/>
    </row>
    <row r="109" customFormat="false" ht="26.85" hidden="false" customHeight="false" outlineLevel="0" collapsed="false">
      <c r="A109" s="9" t="s">
        <v>650</v>
      </c>
      <c r="B109" s="10" t="s">
        <v>651</v>
      </c>
      <c r="C109" s="10" t="s">
        <v>652</v>
      </c>
      <c r="D109" s="10" t="s">
        <v>653</v>
      </c>
      <c r="E109" s="10" t="s">
        <v>646</v>
      </c>
      <c r="F109" s="9" t="n">
        <v>2</v>
      </c>
      <c r="G109" s="9" t="s">
        <v>47</v>
      </c>
      <c r="H109" s="9" t="s">
        <v>47</v>
      </c>
      <c r="I109" s="9"/>
      <c r="J109" s="9" t="s">
        <v>47</v>
      </c>
      <c r="K109" s="9"/>
      <c r="L109" s="9"/>
      <c r="M109" s="9"/>
      <c r="N109" s="9"/>
      <c r="O109" s="9"/>
      <c r="P109" s="9"/>
      <c r="Q109" s="9"/>
      <c r="R109" s="9"/>
      <c r="S109" s="9"/>
      <c r="T109" s="9" t="s">
        <v>47</v>
      </c>
      <c r="U109" s="10" t="s">
        <v>150</v>
      </c>
      <c r="V109" s="9" t="n">
        <v>5</v>
      </c>
      <c r="W109" s="9"/>
      <c r="X109" s="9" t="s">
        <v>49</v>
      </c>
      <c r="Y109" s="10"/>
      <c r="Z109" s="11" t="s">
        <v>654</v>
      </c>
      <c r="AA109" s="11" t="s">
        <v>655</v>
      </c>
      <c r="AB109" s="11" t="s">
        <v>286</v>
      </c>
      <c r="AC109" s="11" t="s">
        <v>656</v>
      </c>
      <c r="AD109" s="11"/>
    </row>
    <row r="110" customFormat="false" ht="26.85" hidden="false" customHeight="false" outlineLevel="0" collapsed="false">
      <c r="A110" s="6" t="s">
        <v>657</v>
      </c>
      <c r="B110" s="7" t="s">
        <v>658</v>
      </c>
      <c r="C110" s="7" t="s">
        <v>659</v>
      </c>
      <c r="D110" s="7" t="s">
        <v>660</v>
      </c>
      <c r="E110" s="7" t="s">
        <v>646</v>
      </c>
      <c r="F110" s="6" t="n">
        <v>3</v>
      </c>
      <c r="G110" s="6" t="s">
        <v>47</v>
      </c>
      <c r="H110" s="6"/>
      <c r="I110" s="6" t="s">
        <v>47</v>
      </c>
      <c r="J110" s="6" t="s">
        <v>47</v>
      </c>
      <c r="K110" s="6" t="s">
        <v>47</v>
      </c>
      <c r="L110" s="6"/>
      <c r="M110" s="6"/>
      <c r="N110" s="6"/>
      <c r="O110" s="6"/>
      <c r="P110" s="6"/>
      <c r="Q110" s="6"/>
      <c r="R110" s="6"/>
      <c r="S110" s="6"/>
      <c r="T110" s="6"/>
      <c r="U110" s="7" t="s">
        <v>581</v>
      </c>
      <c r="V110" s="6" t="n">
        <v>10</v>
      </c>
      <c r="W110" s="6"/>
      <c r="X110" s="6" t="s">
        <v>49</v>
      </c>
      <c r="Y110" s="7" t="s">
        <v>661</v>
      </c>
      <c r="Z110" s="8" t="s">
        <v>662</v>
      </c>
      <c r="AA110" s="8" t="s">
        <v>663</v>
      </c>
      <c r="AB110" s="8" t="s">
        <v>286</v>
      </c>
      <c r="AC110" s="8" t="s">
        <v>664</v>
      </c>
      <c r="AD110" s="8"/>
    </row>
    <row r="111" customFormat="false" ht="39.55" hidden="false" customHeight="false" outlineLevel="0" collapsed="false">
      <c r="A111" s="9" t="s">
        <v>665</v>
      </c>
      <c r="B111" s="10" t="s">
        <v>666</v>
      </c>
      <c r="C111" s="10" t="s">
        <v>667</v>
      </c>
      <c r="D111" s="10" t="s">
        <v>668</v>
      </c>
      <c r="E111" s="10" t="s">
        <v>646</v>
      </c>
      <c r="F111" s="9" t="n">
        <v>3</v>
      </c>
      <c r="G111" s="9"/>
      <c r="H111" s="9" t="s">
        <v>47</v>
      </c>
      <c r="I111" s="9"/>
      <c r="J111" s="9" t="s">
        <v>47</v>
      </c>
      <c r="K111" s="9"/>
      <c r="L111" s="9"/>
      <c r="M111" s="9"/>
      <c r="N111" s="9"/>
      <c r="O111" s="9"/>
      <c r="P111" s="9"/>
      <c r="Q111" s="9"/>
      <c r="R111" s="9"/>
      <c r="S111" s="9"/>
      <c r="T111" s="9" t="s">
        <v>47</v>
      </c>
      <c r="U111" s="10" t="s">
        <v>581</v>
      </c>
      <c r="V111" s="9" t="n">
        <v>5</v>
      </c>
      <c r="W111" s="9"/>
      <c r="X111" s="9" t="s">
        <v>49</v>
      </c>
      <c r="Y111" s="10" t="s">
        <v>661</v>
      </c>
      <c r="Z111" s="11" t="s">
        <v>669</v>
      </c>
      <c r="AA111" s="11" t="s">
        <v>670</v>
      </c>
      <c r="AB111" s="11" t="s">
        <v>286</v>
      </c>
      <c r="AC111" s="11"/>
      <c r="AD111" s="11"/>
    </row>
    <row r="112" customFormat="false" ht="39.55" hidden="false" customHeight="false" outlineLevel="0" collapsed="false">
      <c r="A112" s="6" t="s">
        <v>671</v>
      </c>
      <c r="B112" s="7" t="s">
        <v>672</v>
      </c>
      <c r="C112" s="7" t="s">
        <v>673</v>
      </c>
      <c r="D112" s="7" t="s">
        <v>674</v>
      </c>
      <c r="E112" s="7" t="s">
        <v>646</v>
      </c>
      <c r="F112" s="6" t="n">
        <v>3</v>
      </c>
      <c r="G112" s="6"/>
      <c r="H112" s="6" t="s">
        <v>47</v>
      </c>
      <c r="I112" s="6"/>
      <c r="J112" s="6" t="s">
        <v>47</v>
      </c>
      <c r="K112" s="6"/>
      <c r="L112" s="6"/>
      <c r="M112" s="6"/>
      <c r="N112" s="6"/>
      <c r="O112" s="6"/>
      <c r="P112" s="6"/>
      <c r="Q112" s="6"/>
      <c r="R112" s="6"/>
      <c r="S112" s="6"/>
      <c r="T112" s="6" t="s">
        <v>47</v>
      </c>
      <c r="U112" s="7" t="s">
        <v>581</v>
      </c>
      <c r="V112" s="6" t="n">
        <v>3</v>
      </c>
      <c r="W112" s="6"/>
      <c r="X112" s="6" t="s">
        <v>49</v>
      </c>
      <c r="Y112" s="7" t="s">
        <v>661</v>
      </c>
      <c r="Z112" s="8" t="s">
        <v>675</v>
      </c>
      <c r="AA112" s="8" t="s">
        <v>676</v>
      </c>
      <c r="AB112" s="8" t="s">
        <v>677</v>
      </c>
      <c r="AC112" s="8"/>
      <c r="AD112" s="8"/>
    </row>
    <row r="113" customFormat="false" ht="26.85" hidden="false" customHeight="false" outlineLevel="0" collapsed="false">
      <c r="A113" s="9" t="s">
        <v>678</v>
      </c>
      <c r="B113" s="10" t="s">
        <v>679</v>
      </c>
      <c r="C113" s="10" t="s">
        <v>680</v>
      </c>
      <c r="D113" s="10" t="s">
        <v>681</v>
      </c>
      <c r="E113" s="10" t="s">
        <v>646</v>
      </c>
      <c r="F113" s="9" t="n">
        <v>2</v>
      </c>
      <c r="G113" s="9" t="s">
        <v>47</v>
      </c>
      <c r="H113" s="9"/>
      <c r="I113" s="9" t="s">
        <v>47</v>
      </c>
      <c r="J113" s="9" t="s">
        <v>47</v>
      </c>
      <c r="K113" s="9" t="s">
        <v>47</v>
      </c>
      <c r="L113" s="9"/>
      <c r="M113" s="9"/>
      <c r="N113" s="9"/>
      <c r="O113" s="9"/>
      <c r="P113" s="9"/>
      <c r="Q113" s="9"/>
      <c r="R113" s="9"/>
      <c r="S113" s="9"/>
      <c r="T113" s="9"/>
      <c r="U113" s="10" t="s">
        <v>581</v>
      </c>
      <c r="V113" s="9" t="n">
        <v>10</v>
      </c>
      <c r="W113" s="9"/>
      <c r="X113" s="9" t="s">
        <v>49</v>
      </c>
      <c r="Y113" s="10" t="s">
        <v>682</v>
      </c>
      <c r="Z113" s="11" t="s">
        <v>683</v>
      </c>
      <c r="AA113" s="11" t="s">
        <v>684</v>
      </c>
      <c r="AB113" s="11" t="s">
        <v>685</v>
      </c>
      <c r="AC113" s="11" t="s">
        <v>686</v>
      </c>
      <c r="AD113" s="11"/>
    </row>
    <row r="114" customFormat="false" ht="26.85" hidden="false" customHeight="false" outlineLevel="0" collapsed="false">
      <c r="A114" s="6" t="s">
        <v>687</v>
      </c>
      <c r="B114" s="7" t="s">
        <v>688</v>
      </c>
      <c r="C114" s="7" t="s">
        <v>689</v>
      </c>
      <c r="D114" s="7" t="s">
        <v>690</v>
      </c>
      <c r="E114" s="7" t="s">
        <v>646</v>
      </c>
      <c r="F114" s="6" t="n">
        <v>2</v>
      </c>
      <c r="G114" s="6" t="s">
        <v>47</v>
      </c>
      <c r="H114" s="6"/>
      <c r="I114" s="6" t="s">
        <v>47</v>
      </c>
      <c r="J114" s="6" t="s">
        <v>47</v>
      </c>
      <c r="K114" s="6" t="s">
        <v>47</v>
      </c>
      <c r="L114" s="6"/>
      <c r="M114" s="6"/>
      <c r="N114" s="6"/>
      <c r="O114" s="6"/>
      <c r="P114" s="6"/>
      <c r="Q114" s="6"/>
      <c r="R114" s="6"/>
      <c r="S114" s="6"/>
      <c r="T114" s="6"/>
      <c r="U114" s="7" t="s">
        <v>581</v>
      </c>
      <c r="V114" s="6" t="n">
        <v>8</v>
      </c>
      <c r="W114" s="6"/>
      <c r="X114" s="6" t="s">
        <v>49</v>
      </c>
      <c r="Y114" s="7"/>
      <c r="Z114" s="8" t="s">
        <v>691</v>
      </c>
      <c r="AA114" s="8" t="s">
        <v>692</v>
      </c>
      <c r="AB114" s="8" t="s">
        <v>685</v>
      </c>
      <c r="AC114" s="8" t="s">
        <v>693</v>
      </c>
      <c r="AD114" s="8"/>
    </row>
    <row r="115" customFormat="false" ht="26.85" hidden="false" customHeight="false" outlineLevel="0" collapsed="false">
      <c r="A115" s="9" t="s">
        <v>694</v>
      </c>
      <c r="B115" s="10" t="s">
        <v>695</v>
      </c>
      <c r="C115" s="10" t="s">
        <v>696</v>
      </c>
      <c r="D115" s="10" t="s">
        <v>697</v>
      </c>
      <c r="E115" s="10" t="s">
        <v>646</v>
      </c>
      <c r="F115" s="9" t="n">
        <v>3</v>
      </c>
      <c r="G115" s="9"/>
      <c r="H115" s="9"/>
      <c r="I115" s="9" t="s">
        <v>47</v>
      </c>
      <c r="J115" s="9" t="s">
        <v>47</v>
      </c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10" t="s">
        <v>581</v>
      </c>
      <c r="V115" s="9" t="n">
        <v>8</v>
      </c>
      <c r="W115" s="9"/>
      <c r="X115" s="9" t="s">
        <v>49</v>
      </c>
      <c r="Y115" s="10"/>
      <c r="Z115" s="11" t="s">
        <v>691</v>
      </c>
      <c r="AA115" s="11" t="s">
        <v>689</v>
      </c>
      <c r="AB115" s="11" t="s">
        <v>685</v>
      </c>
      <c r="AC115" s="11" t="s">
        <v>698</v>
      </c>
      <c r="AD115" s="11"/>
    </row>
    <row r="116" customFormat="false" ht="26.85" hidden="false" customHeight="false" outlineLevel="0" collapsed="false">
      <c r="A116" s="6" t="s">
        <v>699</v>
      </c>
      <c r="B116" s="7" t="s">
        <v>700</v>
      </c>
      <c r="C116" s="7" t="s">
        <v>701</v>
      </c>
      <c r="D116" s="7" t="s">
        <v>702</v>
      </c>
      <c r="E116" s="7" t="s">
        <v>646</v>
      </c>
      <c r="F116" s="6" t="n">
        <v>3</v>
      </c>
      <c r="G116" s="6"/>
      <c r="H116" s="6"/>
      <c r="I116" s="6" t="s">
        <v>47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7" t="s">
        <v>581</v>
      </c>
      <c r="V116" s="6" t="n">
        <v>8</v>
      </c>
      <c r="W116" s="6"/>
      <c r="X116" s="6" t="s">
        <v>49</v>
      </c>
      <c r="Y116" s="7"/>
      <c r="Z116" s="8" t="s">
        <v>703</v>
      </c>
      <c r="AA116" s="8" t="s">
        <v>704</v>
      </c>
      <c r="AB116" s="8" t="s">
        <v>685</v>
      </c>
      <c r="AC116" s="8"/>
      <c r="AD116" s="8"/>
    </row>
    <row r="117" customFormat="false" ht="26.85" hidden="false" customHeight="false" outlineLevel="0" collapsed="false">
      <c r="A117" s="9" t="s">
        <v>705</v>
      </c>
      <c r="B117" s="10" t="s">
        <v>706</v>
      </c>
      <c r="C117" s="10" t="s">
        <v>707</v>
      </c>
      <c r="D117" s="10" t="s">
        <v>708</v>
      </c>
      <c r="E117" s="10" t="s">
        <v>646</v>
      </c>
      <c r="F117" s="9" t="n">
        <v>3</v>
      </c>
      <c r="G117" s="9"/>
      <c r="H117" s="9"/>
      <c r="I117" s="9" t="s">
        <v>47</v>
      </c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10" t="s">
        <v>581</v>
      </c>
      <c r="V117" s="9" t="n">
        <v>8</v>
      </c>
      <c r="W117" s="9"/>
      <c r="X117" s="9" t="s">
        <v>49</v>
      </c>
      <c r="Y117" s="10"/>
      <c r="Z117" s="11" t="s">
        <v>709</v>
      </c>
      <c r="AA117" s="11" t="s">
        <v>701</v>
      </c>
      <c r="AB117" s="11" t="s">
        <v>685</v>
      </c>
      <c r="AC117" s="11"/>
      <c r="AD117" s="11"/>
    </row>
    <row r="118" customFormat="false" ht="26.85" hidden="false" customHeight="false" outlineLevel="0" collapsed="false">
      <c r="A118" s="6" t="s">
        <v>710</v>
      </c>
      <c r="B118" s="7" t="s">
        <v>711</v>
      </c>
      <c r="C118" s="7" t="s">
        <v>712</v>
      </c>
      <c r="D118" s="7" t="s">
        <v>713</v>
      </c>
      <c r="E118" s="7" t="s">
        <v>646</v>
      </c>
      <c r="F118" s="6" t="n">
        <v>1</v>
      </c>
      <c r="G118" s="6" t="s">
        <v>47</v>
      </c>
      <c r="H118" s="6"/>
      <c r="I118" s="6"/>
      <c r="J118" s="6" t="s">
        <v>47</v>
      </c>
      <c r="K118" s="6" t="s">
        <v>47</v>
      </c>
      <c r="L118" s="6" t="s">
        <v>47</v>
      </c>
      <c r="M118" s="6" t="s">
        <v>47</v>
      </c>
      <c r="N118" s="6"/>
      <c r="O118" s="6" t="s">
        <v>47</v>
      </c>
      <c r="P118" s="6"/>
      <c r="Q118" s="6" t="s">
        <v>47</v>
      </c>
      <c r="R118" s="6" t="s">
        <v>47</v>
      </c>
      <c r="S118" s="6" t="s">
        <v>47</v>
      </c>
      <c r="T118" s="6"/>
      <c r="U118" s="7" t="s">
        <v>714</v>
      </c>
      <c r="V118" s="6"/>
      <c r="W118" s="6" t="n">
        <v>5</v>
      </c>
      <c r="X118" s="6" t="s">
        <v>49</v>
      </c>
      <c r="Y118" s="7" t="s">
        <v>110</v>
      </c>
      <c r="Z118" s="8" t="s">
        <v>715</v>
      </c>
      <c r="AA118" s="8"/>
      <c r="AB118" s="8"/>
      <c r="AC118" s="8" t="s">
        <v>716</v>
      </c>
      <c r="AD118" s="8"/>
    </row>
    <row r="119" customFormat="false" ht="26.85" hidden="false" customHeight="false" outlineLevel="0" collapsed="false">
      <c r="A119" s="9" t="s">
        <v>717</v>
      </c>
      <c r="B119" s="10" t="s">
        <v>718</v>
      </c>
      <c r="C119" s="10" t="s">
        <v>564</v>
      </c>
      <c r="D119" s="10" t="s">
        <v>719</v>
      </c>
      <c r="E119" s="10" t="s">
        <v>250</v>
      </c>
      <c r="F119" s="9" t="n">
        <v>1</v>
      </c>
      <c r="G119" s="9" t="s">
        <v>47</v>
      </c>
      <c r="H119" s="9" t="s">
        <v>47</v>
      </c>
      <c r="I119" s="9" t="s">
        <v>47</v>
      </c>
      <c r="J119" s="9" t="s">
        <v>47</v>
      </c>
      <c r="K119" s="9" t="s">
        <v>47</v>
      </c>
      <c r="L119" s="9"/>
      <c r="M119" s="9"/>
      <c r="N119" s="9"/>
      <c r="O119" s="9"/>
      <c r="P119" s="9"/>
      <c r="Q119" s="9"/>
      <c r="R119" s="9"/>
      <c r="S119" s="9"/>
      <c r="T119" s="9"/>
      <c r="U119" s="10" t="s">
        <v>720</v>
      </c>
      <c r="V119" s="9" t="n">
        <v>10</v>
      </c>
      <c r="W119" s="9"/>
      <c r="X119" s="9" t="s">
        <v>49</v>
      </c>
      <c r="Y119" s="10" t="s">
        <v>234</v>
      </c>
      <c r="Z119" s="11" t="s">
        <v>332</v>
      </c>
      <c r="AA119" s="11" t="s">
        <v>721</v>
      </c>
      <c r="AB119" s="11" t="s">
        <v>722</v>
      </c>
      <c r="AC119" s="11" t="s">
        <v>723</v>
      </c>
      <c r="AD119" s="11"/>
    </row>
    <row r="120" customFormat="false" ht="26.85" hidden="false" customHeight="false" outlineLevel="0" collapsed="false">
      <c r="A120" s="6" t="s">
        <v>724</v>
      </c>
      <c r="B120" s="7" t="s">
        <v>725</v>
      </c>
      <c r="C120" s="7" t="s">
        <v>726</v>
      </c>
      <c r="D120" s="7" t="s">
        <v>727</v>
      </c>
      <c r="E120" s="7" t="s">
        <v>250</v>
      </c>
      <c r="F120" s="6" t="n">
        <v>1</v>
      </c>
      <c r="G120" s="6" t="s">
        <v>47</v>
      </c>
      <c r="H120" s="6" t="s">
        <v>47</v>
      </c>
      <c r="I120" s="6" t="s">
        <v>47</v>
      </c>
      <c r="J120" s="6" t="s">
        <v>47</v>
      </c>
      <c r="K120" s="6" t="s">
        <v>47</v>
      </c>
      <c r="L120" s="6"/>
      <c r="M120" s="6"/>
      <c r="N120" s="6"/>
      <c r="O120" s="6"/>
      <c r="P120" s="6"/>
      <c r="Q120" s="6"/>
      <c r="R120" s="6"/>
      <c r="S120" s="6"/>
      <c r="T120" s="6"/>
      <c r="U120" s="7" t="s">
        <v>720</v>
      </c>
      <c r="V120" s="6" t="n">
        <v>8</v>
      </c>
      <c r="W120" s="6"/>
      <c r="X120" s="6" t="s">
        <v>124</v>
      </c>
      <c r="Y120" s="7" t="s">
        <v>234</v>
      </c>
      <c r="Z120" s="8" t="s">
        <v>728</v>
      </c>
      <c r="AA120" s="8" t="s">
        <v>729</v>
      </c>
      <c r="AB120" s="8"/>
      <c r="AC120" s="8"/>
      <c r="AD120" s="8"/>
    </row>
    <row r="121" customFormat="false" ht="26.85" hidden="false" customHeight="false" outlineLevel="0" collapsed="false">
      <c r="A121" s="9" t="s">
        <v>730</v>
      </c>
      <c r="B121" s="10" t="s">
        <v>731</v>
      </c>
      <c r="C121" s="10" t="s">
        <v>732</v>
      </c>
      <c r="D121" s="10" t="s">
        <v>733</v>
      </c>
      <c r="E121" s="10" t="s">
        <v>216</v>
      </c>
      <c r="F121" s="9" t="n">
        <v>2</v>
      </c>
      <c r="G121" s="9" t="s">
        <v>47</v>
      </c>
      <c r="H121" s="9"/>
      <c r="I121" s="9"/>
      <c r="J121" s="9" t="s">
        <v>47</v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10" t="s">
        <v>720</v>
      </c>
      <c r="V121" s="9" t="n">
        <v>5</v>
      </c>
      <c r="W121" s="9"/>
      <c r="X121" s="9" t="s">
        <v>124</v>
      </c>
      <c r="Y121" s="10"/>
      <c r="Z121" s="11" t="s">
        <v>734</v>
      </c>
      <c r="AA121" s="11" t="s">
        <v>735</v>
      </c>
      <c r="AB121" s="11"/>
      <c r="AC121" s="11" t="s">
        <v>402</v>
      </c>
      <c r="AD121" s="11"/>
    </row>
    <row r="122" customFormat="false" ht="26.85" hidden="false" customHeight="false" outlineLevel="0" collapsed="false">
      <c r="A122" s="6" t="s">
        <v>736</v>
      </c>
      <c r="B122" s="7" t="s">
        <v>737</v>
      </c>
      <c r="C122" s="7" t="s">
        <v>738</v>
      </c>
      <c r="D122" s="7" t="s">
        <v>739</v>
      </c>
      <c r="E122" s="7" t="s">
        <v>250</v>
      </c>
      <c r="F122" s="6" t="n">
        <v>3</v>
      </c>
      <c r="G122" s="6"/>
      <c r="H122" s="6"/>
      <c r="I122" s="6" t="s">
        <v>47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7" t="s">
        <v>150</v>
      </c>
      <c r="V122" s="6" t="n">
        <v>5</v>
      </c>
      <c r="W122" s="6"/>
      <c r="X122" s="6" t="s">
        <v>124</v>
      </c>
      <c r="Y122" s="7"/>
      <c r="Z122" s="8" t="s">
        <v>728</v>
      </c>
      <c r="AA122" s="8" t="s">
        <v>740</v>
      </c>
      <c r="AB122" s="8" t="s">
        <v>338</v>
      </c>
      <c r="AC122" s="8" t="s">
        <v>145</v>
      </c>
      <c r="AD122" s="8"/>
    </row>
    <row r="123" customFormat="false" ht="15" hidden="false" customHeight="false" outlineLevel="0" collapsed="false">
      <c r="A123" s="9" t="s">
        <v>741</v>
      </c>
      <c r="B123" s="10" t="s">
        <v>742</v>
      </c>
      <c r="C123" s="10" t="s">
        <v>743</v>
      </c>
      <c r="D123" s="10" t="s">
        <v>744</v>
      </c>
      <c r="E123" s="10" t="s">
        <v>250</v>
      </c>
      <c r="F123" s="9" t="n">
        <v>2</v>
      </c>
      <c r="G123" s="9"/>
      <c r="H123" s="9"/>
      <c r="I123" s="9" t="s">
        <v>47</v>
      </c>
      <c r="J123" s="9" t="s">
        <v>47</v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10" t="s">
        <v>150</v>
      </c>
      <c r="V123" s="9" t="n">
        <v>5</v>
      </c>
      <c r="W123" s="9"/>
      <c r="X123" s="9" t="s">
        <v>124</v>
      </c>
      <c r="Y123" s="10"/>
      <c r="Z123" s="11" t="s">
        <v>745</v>
      </c>
      <c r="AA123" s="11" t="s">
        <v>746</v>
      </c>
      <c r="AB123" s="11" t="s">
        <v>338</v>
      </c>
      <c r="AC123" s="11" t="s">
        <v>145</v>
      </c>
      <c r="AD123" s="11"/>
    </row>
    <row r="124" customFormat="false" ht="26.85" hidden="false" customHeight="false" outlineLevel="0" collapsed="false">
      <c r="A124" s="6" t="s">
        <v>747</v>
      </c>
      <c r="B124" s="7" t="s">
        <v>748</v>
      </c>
      <c r="C124" s="7" t="s">
        <v>749</v>
      </c>
      <c r="D124" s="7" t="s">
        <v>750</v>
      </c>
      <c r="E124" s="7" t="s">
        <v>250</v>
      </c>
      <c r="F124" s="6" t="n">
        <v>3</v>
      </c>
      <c r="G124" s="6"/>
      <c r="H124" s="6"/>
      <c r="I124" s="6"/>
      <c r="J124" s="6" t="s">
        <v>47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7" t="s">
        <v>150</v>
      </c>
      <c r="V124" s="6" t="n">
        <v>5</v>
      </c>
      <c r="W124" s="6"/>
      <c r="X124" s="6" t="s">
        <v>124</v>
      </c>
      <c r="Y124" s="7" t="s">
        <v>234</v>
      </c>
      <c r="Z124" s="8" t="s">
        <v>745</v>
      </c>
      <c r="AA124" s="8" t="s">
        <v>751</v>
      </c>
      <c r="AB124" s="8" t="s">
        <v>338</v>
      </c>
      <c r="AC124" s="8"/>
      <c r="AD124" s="8"/>
    </row>
    <row r="125" customFormat="false" ht="26.85" hidden="false" customHeight="false" outlineLevel="0" collapsed="false">
      <c r="A125" s="9" t="s">
        <v>752</v>
      </c>
      <c r="B125" s="10" t="s">
        <v>753</v>
      </c>
      <c r="C125" s="10" t="s">
        <v>754</v>
      </c>
      <c r="D125" s="10" t="s">
        <v>755</v>
      </c>
      <c r="E125" s="10" t="s">
        <v>250</v>
      </c>
      <c r="F125" s="9" t="n">
        <v>1</v>
      </c>
      <c r="G125" s="9" t="s">
        <v>47</v>
      </c>
      <c r="H125" s="9" t="s">
        <v>47</v>
      </c>
      <c r="I125" s="9" t="s">
        <v>47</v>
      </c>
      <c r="J125" s="9" t="s">
        <v>47</v>
      </c>
      <c r="K125" s="9"/>
      <c r="L125" s="9"/>
      <c r="M125" s="9"/>
      <c r="N125" s="9"/>
      <c r="O125" s="9"/>
      <c r="P125" s="9" t="s">
        <v>47</v>
      </c>
      <c r="Q125" s="9"/>
      <c r="R125" s="9"/>
      <c r="S125" s="9"/>
      <c r="T125" s="9"/>
      <c r="U125" s="10" t="s">
        <v>720</v>
      </c>
      <c r="V125" s="9" t="n">
        <v>8</v>
      </c>
      <c r="W125" s="9"/>
      <c r="X125" s="9" t="s">
        <v>49</v>
      </c>
      <c r="Y125" s="10" t="s">
        <v>104</v>
      </c>
      <c r="Z125" s="11" t="s">
        <v>756</v>
      </c>
      <c r="AA125" s="11" t="s">
        <v>757</v>
      </c>
      <c r="AB125" s="11"/>
      <c r="AC125" s="11" t="s">
        <v>758</v>
      </c>
      <c r="AD125" s="11"/>
    </row>
    <row r="126" customFormat="false" ht="39.55" hidden="false" customHeight="false" outlineLevel="0" collapsed="false">
      <c r="A126" s="6" t="s">
        <v>759</v>
      </c>
      <c r="B126" s="7" t="s">
        <v>760</v>
      </c>
      <c r="C126" s="7" t="s">
        <v>761</v>
      </c>
      <c r="D126" s="7" t="s">
        <v>762</v>
      </c>
      <c r="E126" s="7" t="s">
        <v>250</v>
      </c>
      <c r="F126" s="6" t="n">
        <v>3</v>
      </c>
      <c r="G126" s="6"/>
      <c r="H126" s="6"/>
      <c r="I126" s="6" t="s">
        <v>47</v>
      </c>
      <c r="J126" s="6" t="s">
        <v>47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7" t="s">
        <v>150</v>
      </c>
      <c r="V126" s="6" t="n">
        <v>5</v>
      </c>
      <c r="W126" s="6"/>
      <c r="X126" s="6" t="s">
        <v>49</v>
      </c>
      <c r="Y126" s="7"/>
      <c r="Z126" s="8" t="s">
        <v>763</v>
      </c>
      <c r="AA126" s="8" t="s">
        <v>764</v>
      </c>
      <c r="AB126" s="8" t="s">
        <v>338</v>
      </c>
      <c r="AC126" s="8"/>
      <c r="AD126" s="8"/>
    </row>
    <row r="127" customFormat="false" ht="39.55" hidden="false" customHeight="false" outlineLevel="0" collapsed="false">
      <c r="A127" s="9" t="s">
        <v>765</v>
      </c>
      <c r="B127" s="10" t="s">
        <v>766</v>
      </c>
      <c r="C127" s="10" t="s">
        <v>767</v>
      </c>
      <c r="D127" s="10" t="s">
        <v>768</v>
      </c>
      <c r="E127" s="10" t="s">
        <v>250</v>
      </c>
      <c r="F127" s="9" t="n">
        <v>3</v>
      </c>
      <c r="G127" s="9"/>
      <c r="H127" s="9"/>
      <c r="I127" s="9" t="s">
        <v>47</v>
      </c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10" t="s">
        <v>150</v>
      </c>
      <c r="V127" s="9" t="n">
        <v>5</v>
      </c>
      <c r="W127" s="9"/>
      <c r="X127" s="9" t="s">
        <v>49</v>
      </c>
      <c r="Y127" s="10"/>
      <c r="Z127" s="11" t="s">
        <v>769</v>
      </c>
      <c r="AA127" s="11" t="s">
        <v>761</v>
      </c>
      <c r="AB127" s="11" t="s">
        <v>338</v>
      </c>
      <c r="AC127" s="11"/>
      <c r="AD127" s="11"/>
    </row>
    <row r="128" customFormat="false" ht="26.85" hidden="false" customHeight="false" outlineLevel="0" collapsed="false">
      <c r="A128" s="6" t="s">
        <v>770</v>
      </c>
      <c r="B128" s="7" t="s">
        <v>771</v>
      </c>
      <c r="C128" s="7" t="s">
        <v>772</v>
      </c>
      <c r="D128" s="7" t="s">
        <v>773</v>
      </c>
      <c r="E128" s="7" t="s">
        <v>250</v>
      </c>
      <c r="F128" s="6" t="n">
        <v>3</v>
      </c>
      <c r="G128" s="6"/>
      <c r="H128" s="6"/>
      <c r="I128" s="6" t="s">
        <v>47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7" t="s">
        <v>150</v>
      </c>
      <c r="V128" s="6" t="n">
        <v>5</v>
      </c>
      <c r="W128" s="6"/>
      <c r="X128" s="6" t="s">
        <v>49</v>
      </c>
      <c r="Y128" s="7"/>
      <c r="Z128" s="8" t="s">
        <v>774</v>
      </c>
      <c r="AA128" s="8" t="s">
        <v>775</v>
      </c>
      <c r="AB128" s="8" t="s">
        <v>354</v>
      </c>
      <c r="AC128" s="8"/>
      <c r="AD128" s="8"/>
    </row>
    <row r="129" customFormat="false" ht="26.85" hidden="false" customHeight="false" outlineLevel="0" collapsed="false">
      <c r="A129" s="9" t="s">
        <v>776</v>
      </c>
      <c r="B129" s="10" t="s">
        <v>777</v>
      </c>
      <c r="C129" s="10" t="s">
        <v>778</v>
      </c>
      <c r="D129" s="10" t="s">
        <v>779</v>
      </c>
      <c r="E129" s="10" t="s">
        <v>318</v>
      </c>
      <c r="F129" s="9" t="n">
        <v>3</v>
      </c>
      <c r="G129" s="9"/>
      <c r="H129" s="9"/>
      <c r="I129" s="9" t="s">
        <v>47</v>
      </c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10" t="s">
        <v>150</v>
      </c>
      <c r="V129" s="9" t="n">
        <v>5</v>
      </c>
      <c r="W129" s="9"/>
      <c r="X129" s="9" t="s">
        <v>49</v>
      </c>
      <c r="Y129" s="10"/>
      <c r="Z129" s="11" t="s">
        <v>774</v>
      </c>
      <c r="AA129" s="11" t="s">
        <v>775</v>
      </c>
      <c r="AB129" s="11"/>
      <c r="AC129" s="11"/>
      <c r="AD129" s="11"/>
    </row>
    <row r="130" customFormat="false" ht="26.85" hidden="false" customHeight="false" outlineLevel="0" collapsed="false">
      <c r="A130" s="6" t="s">
        <v>780</v>
      </c>
      <c r="B130" s="7" t="s">
        <v>781</v>
      </c>
      <c r="C130" s="7" t="s">
        <v>782</v>
      </c>
      <c r="D130" s="7" t="s">
        <v>783</v>
      </c>
      <c r="E130" s="7" t="s">
        <v>250</v>
      </c>
      <c r="F130" s="6" t="n">
        <v>2</v>
      </c>
      <c r="G130" s="6"/>
      <c r="H130" s="6"/>
      <c r="I130" s="6" t="s">
        <v>47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7" t="s">
        <v>150</v>
      </c>
      <c r="V130" s="6" t="n">
        <v>5</v>
      </c>
      <c r="W130" s="6"/>
      <c r="X130" s="6" t="s">
        <v>124</v>
      </c>
      <c r="Y130" s="7"/>
      <c r="Z130" s="8" t="s">
        <v>784</v>
      </c>
      <c r="AA130" s="8" t="s">
        <v>785</v>
      </c>
      <c r="AB130" s="8" t="s">
        <v>338</v>
      </c>
      <c r="AC130" s="8"/>
      <c r="AD130" s="8"/>
    </row>
    <row r="131" customFormat="false" ht="39.55" hidden="false" customHeight="false" outlineLevel="0" collapsed="false">
      <c r="A131" s="9" t="s">
        <v>786</v>
      </c>
      <c r="B131" s="10" t="s">
        <v>787</v>
      </c>
      <c r="C131" s="10" t="s">
        <v>788</v>
      </c>
      <c r="D131" s="10" t="s">
        <v>789</v>
      </c>
      <c r="E131" s="10" t="s">
        <v>250</v>
      </c>
      <c r="F131" s="9" t="n">
        <v>3</v>
      </c>
      <c r="G131" s="9"/>
      <c r="H131" s="9"/>
      <c r="I131" s="9" t="s">
        <v>47</v>
      </c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10" t="s">
        <v>150</v>
      </c>
      <c r="V131" s="9" t="n">
        <v>5</v>
      </c>
      <c r="W131" s="9"/>
      <c r="X131" s="9" t="s">
        <v>124</v>
      </c>
      <c r="Y131" s="10"/>
      <c r="Z131" s="11" t="s">
        <v>769</v>
      </c>
      <c r="AA131" s="11" t="s">
        <v>790</v>
      </c>
      <c r="AB131" s="11" t="s">
        <v>338</v>
      </c>
      <c r="AC131" s="11" t="s">
        <v>145</v>
      </c>
      <c r="AD131" s="11"/>
    </row>
    <row r="132" customFormat="false" ht="15" hidden="false" customHeight="false" outlineLevel="0" collapsed="false">
      <c r="A132" s="6" t="s">
        <v>791</v>
      </c>
      <c r="B132" s="7" t="s">
        <v>792</v>
      </c>
      <c r="C132" s="7" t="s">
        <v>286</v>
      </c>
      <c r="D132" s="7" t="s">
        <v>793</v>
      </c>
      <c r="E132" s="7" t="s">
        <v>250</v>
      </c>
      <c r="F132" s="6" t="n">
        <v>1</v>
      </c>
      <c r="G132" s="6" t="s">
        <v>47</v>
      </c>
      <c r="H132" s="6" t="s">
        <v>47</v>
      </c>
      <c r="I132" s="6" t="s">
        <v>47</v>
      </c>
      <c r="J132" s="6" t="s">
        <v>47</v>
      </c>
      <c r="K132" s="6" t="s">
        <v>47</v>
      </c>
      <c r="L132" s="6" t="s">
        <v>47</v>
      </c>
      <c r="M132" s="6" t="s">
        <v>47</v>
      </c>
      <c r="N132" s="6" t="s">
        <v>47</v>
      </c>
      <c r="O132" s="6" t="s">
        <v>47</v>
      </c>
      <c r="P132" s="6" t="s">
        <v>47</v>
      </c>
      <c r="Q132" s="6" t="s">
        <v>47</v>
      </c>
      <c r="R132" s="6" t="s">
        <v>47</v>
      </c>
      <c r="S132" s="6" t="s">
        <v>47</v>
      </c>
      <c r="T132" s="6" t="s">
        <v>47</v>
      </c>
      <c r="U132" s="7" t="s">
        <v>720</v>
      </c>
      <c r="V132" s="6" t="n">
        <v>10</v>
      </c>
      <c r="W132" s="6" t="n">
        <v>3</v>
      </c>
      <c r="X132" s="6" t="s">
        <v>49</v>
      </c>
      <c r="Y132" s="7" t="s">
        <v>104</v>
      </c>
      <c r="Z132" s="8" t="s">
        <v>794</v>
      </c>
      <c r="AA132" s="8"/>
      <c r="AB132" s="8"/>
      <c r="AC132" s="8" t="s">
        <v>795</v>
      </c>
      <c r="AD132" s="8"/>
    </row>
    <row r="133" customFormat="false" ht="26.85" hidden="false" customHeight="false" outlineLevel="0" collapsed="false">
      <c r="A133" s="9" t="s">
        <v>796</v>
      </c>
      <c r="B133" s="10" t="s">
        <v>797</v>
      </c>
      <c r="C133" s="10" t="s">
        <v>798</v>
      </c>
      <c r="D133" s="10" t="s">
        <v>799</v>
      </c>
      <c r="E133" s="10" t="s">
        <v>561</v>
      </c>
      <c r="F133" s="9" t="n">
        <v>1</v>
      </c>
      <c r="G133" s="9" t="s">
        <v>47</v>
      </c>
      <c r="H133" s="9" t="s">
        <v>47</v>
      </c>
      <c r="I133" s="9"/>
      <c r="J133" s="9"/>
      <c r="K133" s="9"/>
      <c r="L133" s="9" t="s">
        <v>47</v>
      </c>
      <c r="M133" s="9"/>
      <c r="N133" s="9"/>
      <c r="O133" s="9"/>
      <c r="P133" s="9"/>
      <c r="Q133" s="9" t="s">
        <v>47</v>
      </c>
      <c r="R133" s="9"/>
      <c r="S133" s="9" t="s">
        <v>47</v>
      </c>
      <c r="T133" s="9"/>
      <c r="U133" s="10" t="s">
        <v>150</v>
      </c>
      <c r="V133" s="9" t="n">
        <v>5</v>
      </c>
      <c r="W133" s="9" t="n">
        <v>3</v>
      </c>
      <c r="X133" s="9" t="s">
        <v>49</v>
      </c>
      <c r="Y133" s="10"/>
      <c r="Z133" s="11" t="s">
        <v>800</v>
      </c>
      <c r="AA133" s="11" t="s">
        <v>173</v>
      </c>
      <c r="AB133" s="11"/>
      <c r="AC133" s="11" t="s">
        <v>801</v>
      </c>
      <c r="AD133" s="11"/>
    </row>
    <row r="134" customFormat="false" ht="26.85" hidden="false" customHeight="false" outlineLevel="0" collapsed="false">
      <c r="A134" s="6" t="s">
        <v>802</v>
      </c>
      <c r="B134" s="7" t="s">
        <v>803</v>
      </c>
      <c r="C134" s="7" t="s">
        <v>804</v>
      </c>
      <c r="D134" s="7" t="s">
        <v>805</v>
      </c>
      <c r="E134" s="7" t="s">
        <v>257</v>
      </c>
      <c r="F134" s="6" t="n">
        <v>1</v>
      </c>
      <c r="G134" s="6" t="s">
        <v>47</v>
      </c>
      <c r="H134" s="6"/>
      <c r="I134" s="6" t="s">
        <v>47</v>
      </c>
      <c r="J134" s="6" t="s">
        <v>47</v>
      </c>
      <c r="K134" s="6" t="s">
        <v>47</v>
      </c>
      <c r="L134" s="6"/>
      <c r="M134" s="6"/>
      <c r="N134" s="6"/>
      <c r="O134" s="6" t="s">
        <v>47</v>
      </c>
      <c r="P134" s="6" t="s">
        <v>47</v>
      </c>
      <c r="Q134" s="6" t="s">
        <v>47</v>
      </c>
      <c r="R134" s="6"/>
      <c r="S134" s="6"/>
      <c r="T134" s="6"/>
      <c r="U134" s="7" t="s">
        <v>720</v>
      </c>
      <c r="V134" s="6" t="n">
        <v>10</v>
      </c>
      <c r="W134" s="6"/>
      <c r="X134" s="6" t="s">
        <v>49</v>
      </c>
      <c r="Y134" s="7" t="s">
        <v>806</v>
      </c>
      <c r="Z134" s="8" t="s">
        <v>807</v>
      </c>
      <c r="AA134" s="8"/>
      <c r="AB134" s="8"/>
      <c r="AC134" s="8"/>
      <c r="AD134" s="8"/>
    </row>
    <row r="135" customFormat="false" ht="26.85" hidden="false" customHeight="false" outlineLevel="0" collapsed="false">
      <c r="A135" s="9" t="s">
        <v>808</v>
      </c>
      <c r="B135" s="10" t="s">
        <v>809</v>
      </c>
      <c r="C135" s="10" t="s">
        <v>810</v>
      </c>
      <c r="D135" s="10" t="s">
        <v>811</v>
      </c>
      <c r="E135" s="10" t="s">
        <v>233</v>
      </c>
      <c r="F135" s="9" t="n">
        <v>1</v>
      </c>
      <c r="G135" s="9" t="s">
        <v>47</v>
      </c>
      <c r="H135" s="9"/>
      <c r="I135" s="9"/>
      <c r="J135" s="9" t="s">
        <v>47</v>
      </c>
      <c r="K135" s="9"/>
      <c r="L135" s="9"/>
      <c r="M135" s="9" t="s">
        <v>47</v>
      </c>
      <c r="N135" s="9"/>
      <c r="O135" s="9" t="s">
        <v>47</v>
      </c>
      <c r="P135" s="9" t="s">
        <v>47</v>
      </c>
      <c r="Q135" s="9" t="s">
        <v>47</v>
      </c>
      <c r="R135" s="9"/>
      <c r="S135" s="9"/>
      <c r="T135" s="9"/>
      <c r="U135" s="10" t="s">
        <v>714</v>
      </c>
      <c r="V135" s="9"/>
      <c r="W135" s="9" t="n">
        <v>5</v>
      </c>
      <c r="X135" s="9" t="s">
        <v>49</v>
      </c>
      <c r="Y135" s="10" t="s">
        <v>812</v>
      </c>
      <c r="Z135" s="11" t="s">
        <v>813</v>
      </c>
      <c r="AA135" s="11"/>
      <c r="AB135" s="11"/>
      <c r="AC135" s="11" t="s">
        <v>814</v>
      </c>
      <c r="AD135" s="11"/>
    </row>
    <row r="136" customFormat="false" ht="39.55" hidden="false" customHeight="false" outlineLevel="0" collapsed="false">
      <c r="A136" s="6" t="s">
        <v>815</v>
      </c>
      <c r="B136" s="7" t="s">
        <v>816</v>
      </c>
      <c r="C136" s="7" t="s">
        <v>817</v>
      </c>
      <c r="D136" s="7" t="s">
        <v>818</v>
      </c>
      <c r="E136" s="7" t="s">
        <v>257</v>
      </c>
      <c r="F136" s="6" t="n">
        <v>2</v>
      </c>
      <c r="G136" s="6" t="s">
        <v>47</v>
      </c>
      <c r="H136" s="6" t="s">
        <v>47</v>
      </c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 t="s">
        <v>47</v>
      </c>
      <c r="U136" s="7" t="s">
        <v>150</v>
      </c>
      <c r="V136" s="6" t="n">
        <v>8</v>
      </c>
      <c r="W136" s="6"/>
      <c r="X136" s="6" t="s">
        <v>124</v>
      </c>
      <c r="Y136" s="7" t="s">
        <v>819</v>
      </c>
      <c r="Z136" s="8" t="s">
        <v>820</v>
      </c>
      <c r="AA136" s="8" t="s">
        <v>821</v>
      </c>
      <c r="AB136" s="8" t="s">
        <v>244</v>
      </c>
      <c r="AC136" s="8" t="s">
        <v>822</v>
      </c>
      <c r="AD136" s="8"/>
    </row>
    <row r="137" customFormat="false" ht="64.9" hidden="false" customHeight="false" outlineLevel="0" collapsed="false">
      <c r="A137" s="9" t="s">
        <v>823</v>
      </c>
      <c r="B137" s="10" t="s">
        <v>824</v>
      </c>
      <c r="C137" s="10" t="s">
        <v>825</v>
      </c>
      <c r="D137" s="10" t="s">
        <v>826</v>
      </c>
      <c r="E137" s="10" t="s">
        <v>561</v>
      </c>
      <c r="F137" s="9" t="n">
        <v>3</v>
      </c>
      <c r="G137" s="9"/>
      <c r="H137" s="9" t="s">
        <v>47</v>
      </c>
      <c r="I137" s="9"/>
      <c r="J137" s="9" t="s">
        <v>47</v>
      </c>
      <c r="K137" s="9"/>
      <c r="L137" s="9"/>
      <c r="M137" s="9"/>
      <c r="N137" s="9"/>
      <c r="O137" s="9"/>
      <c r="P137" s="9"/>
      <c r="Q137" s="9"/>
      <c r="R137" s="9"/>
      <c r="S137" s="9"/>
      <c r="T137" s="9" t="s">
        <v>47</v>
      </c>
      <c r="U137" s="10" t="s">
        <v>581</v>
      </c>
      <c r="V137" s="9" t="n">
        <v>5</v>
      </c>
      <c r="W137" s="9"/>
      <c r="X137" s="9" t="s">
        <v>124</v>
      </c>
      <c r="Y137" s="10" t="s">
        <v>234</v>
      </c>
      <c r="Z137" s="11" t="s">
        <v>827</v>
      </c>
      <c r="AA137" s="11" t="s">
        <v>828</v>
      </c>
      <c r="AB137" s="11" t="s">
        <v>829</v>
      </c>
      <c r="AC137" s="11"/>
      <c r="AD137" s="11"/>
    </row>
    <row r="138" customFormat="false" ht="26.85" hidden="false" customHeight="false" outlineLevel="0" collapsed="false">
      <c r="A138" s="6" t="s">
        <v>830</v>
      </c>
      <c r="B138" s="7" t="s">
        <v>831</v>
      </c>
      <c r="C138" s="7" t="s">
        <v>832</v>
      </c>
      <c r="D138" s="7" t="s">
        <v>833</v>
      </c>
      <c r="E138" s="7" t="s">
        <v>257</v>
      </c>
      <c r="F138" s="6" t="n">
        <v>1</v>
      </c>
      <c r="G138" s="6" t="s">
        <v>47</v>
      </c>
      <c r="H138" s="6" t="s">
        <v>47</v>
      </c>
      <c r="I138" s="6"/>
      <c r="J138" s="6"/>
      <c r="K138" s="6"/>
      <c r="L138" s="6"/>
      <c r="M138" s="6"/>
      <c r="N138" s="6"/>
      <c r="O138" s="6" t="s">
        <v>47</v>
      </c>
      <c r="P138" s="6"/>
      <c r="Q138" s="6" t="s">
        <v>47</v>
      </c>
      <c r="R138" s="6" t="s">
        <v>47</v>
      </c>
      <c r="S138" s="6" t="s">
        <v>47</v>
      </c>
      <c r="T138" s="6"/>
      <c r="U138" s="7" t="s">
        <v>720</v>
      </c>
      <c r="V138" s="6" t="n">
        <v>8</v>
      </c>
      <c r="W138" s="6"/>
      <c r="X138" s="6" t="s">
        <v>124</v>
      </c>
      <c r="Y138" s="7"/>
      <c r="Z138" s="8" t="s">
        <v>834</v>
      </c>
      <c r="AA138" s="8"/>
      <c r="AB138" s="8"/>
      <c r="AC138" s="8"/>
      <c r="AD138" s="8"/>
    </row>
    <row r="139" customFormat="false" ht="26.85" hidden="false" customHeight="false" outlineLevel="0" collapsed="false">
      <c r="A139" s="9" t="s">
        <v>835</v>
      </c>
      <c r="B139" s="10" t="s">
        <v>836</v>
      </c>
      <c r="C139" s="10" t="s">
        <v>837</v>
      </c>
      <c r="D139" s="10" t="s">
        <v>838</v>
      </c>
      <c r="E139" s="10" t="s">
        <v>257</v>
      </c>
      <c r="F139" s="9" t="n">
        <v>2</v>
      </c>
      <c r="G139" s="9" t="s">
        <v>47</v>
      </c>
      <c r="H139" s="9" t="s">
        <v>47</v>
      </c>
      <c r="I139" s="9"/>
      <c r="J139" s="9" t="s">
        <v>47</v>
      </c>
      <c r="K139" s="9"/>
      <c r="L139" s="9"/>
      <c r="M139" s="9"/>
      <c r="N139" s="9"/>
      <c r="O139" s="9"/>
      <c r="P139" s="9"/>
      <c r="Q139" s="9"/>
      <c r="R139" s="9"/>
      <c r="S139" s="9" t="s">
        <v>47</v>
      </c>
      <c r="T139" s="9"/>
      <c r="U139" s="10" t="s">
        <v>150</v>
      </c>
      <c r="V139" s="9" t="n">
        <v>8</v>
      </c>
      <c r="W139" s="9"/>
      <c r="X139" s="9" t="s">
        <v>124</v>
      </c>
      <c r="Y139" s="10" t="s">
        <v>104</v>
      </c>
      <c r="Z139" s="11" t="s">
        <v>834</v>
      </c>
      <c r="AA139" s="11" t="s">
        <v>839</v>
      </c>
      <c r="AB139" s="11" t="s">
        <v>354</v>
      </c>
      <c r="AC139" s="11" t="s">
        <v>145</v>
      </c>
      <c r="AD139" s="11"/>
    </row>
    <row r="140" customFormat="false" ht="26.85" hidden="false" customHeight="false" outlineLevel="0" collapsed="false">
      <c r="A140" s="6" t="s">
        <v>840</v>
      </c>
      <c r="B140" s="7" t="s">
        <v>841</v>
      </c>
      <c r="C140" s="7" t="s">
        <v>842</v>
      </c>
      <c r="D140" s="7" t="s">
        <v>843</v>
      </c>
      <c r="E140" s="7" t="s">
        <v>257</v>
      </c>
      <c r="F140" s="6" t="n">
        <v>2</v>
      </c>
      <c r="G140" s="6" t="s">
        <v>47</v>
      </c>
      <c r="H140" s="6" t="s">
        <v>47</v>
      </c>
      <c r="I140" s="6"/>
      <c r="J140" s="6" t="s">
        <v>47</v>
      </c>
      <c r="K140" s="6" t="s">
        <v>47</v>
      </c>
      <c r="L140" s="6"/>
      <c r="M140" s="6"/>
      <c r="N140" s="6"/>
      <c r="O140" s="6"/>
      <c r="P140" s="6"/>
      <c r="Q140" s="6"/>
      <c r="R140" s="6"/>
      <c r="S140" s="6" t="s">
        <v>47</v>
      </c>
      <c r="T140" s="6"/>
      <c r="U140" s="7" t="s">
        <v>150</v>
      </c>
      <c r="V140" s="6" t="n">
        <v>8</v>
      </c>
      <c r="W140" s="6"/>
      <c r="X140" s="6" t="s">
        <v>124</v>
      </c>
      <c r="Y140" s="7" t="s">
        <v>844</v>
      </c>
      <c r="Z140" s="8" t="s">
        <v>845</v>
      </c>
      <c r="AA140" s="8" t="s">
        <v>846</v>
      </c>
      <c r="AB140" s="8" t="s">
        <v>354</v>
      </c>
      <c r="AC140" s="8" t="s">
        <v>847</v>
      </c>
      <c r="AD140" s="8"/>
    </row>
    <row r="141" customFormat="false" ht="26.85" hidden="false" customHeight="false" outlineLevel="0" collapsed="false">
      <c r="A141" s="9" t="s">
        <v>848</v>
      </c>
      <c r="B141" s="10" t="s">
        <v>849</v>
      </c>
      <c r="C141" s="10" t="s">
        <v>850</v>
      </c>
      <c r="D141" s="10" t="s">
        <v>851</v>
      </c>
      <c r="E141" s="10" t="s">
        <v>233</v>
      </c>
      <c r="F141" s="9" t="n">
        <v>1</v>
      </c>
      <c r="G141" s="9" t="s">
        <v>47</v>
      </c>
      <c r="H141" s="9" t="s">
        <v>47</v>
      </c>
      <c r="I141" s="9"/>
      <c r="J141" s="9"/>
      <c r="K141" s="9"/>
      <c r="L141" s="9"/>
      <c r="M141" s="9"/>
      <c r="N141" s="9"/>
      <c r="O141" s="9"/>
      <c r="P141" s="9"/>
      <c r="Q141" s="9" t="s">
        <v>47</v>
      </c>
      <c r="R141" s="9"/>
      <c r="S141" s="9" t="s">
        <v>47</v>
      </c>
      <c r="T141" s="9"/>
      <c r="U141" s="10" t="s">
        <v>720</v>
      </c>
      <c r="V141" s="9" t="n">
        <v>8</v>
      </c>
      <c r="W141" s="9"/>
      <c r="X141" s="9" t="s">
        <v>49</v>
      </c>
      <c r="Y141" s="10"/>
      <c r="Z141" s="11" t="s">
        <v>813</v>
      </c>
      <c r="AA141" s="11"/>
      <c r="AB141" s="11"/>
      <c r="AC141" s="11" t="s">
        <v>852</v>
      </c>
      <c r="AD141" s="11"/>
    </row>
    <row r="142" customFormat="false" ht="26.85" hidden="false" customHeight="false" outlineLevel="0" collapsed="false">
      <c r="A142" s="6" t="s">
        <v>853</v>
      </c>
      <c r="B142" s="7" t="s">
        <v>854</v>
      </c>
      <c r="C142" s="7" t="s">
        <v>855</v>
      </c>
      <c r="D142" s="7" t="s">
        <v>856</v>
      </c>
      <c r="E142" s="7" t="s">
        <v>257</v>
      </c>
      <c r="F142" s="6" t="n">
        <v>2</v>
      </c>
      <c r="G142" s="6" t="s">
        <v>47</v>
      </c>
      <c r="H142" s="6" t="s">
        <v>47</v>
      </c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 t="s">
        <v>47</v>
      </c>
      <c r="U142" s="7" t="s">
        <v>150</v>
      </c>
      <c r="V142" s="6" t="n">
        <v>5</v>
      </c>
      <c r="W142" s="6"/>
      <c r="X142" s="6" t="s">
        <v>49</v>
      </c>
      <c r="Y142" s="7" t="s">
        <v>857</v>
      </c>
      <c r="Z142" s="8" t="s">
        <v>858</v>
      </c>
      <c r="AA142" s="8" t="s">
        <v>859</v>
      </c>
      <c r="AB142" s="8" t="s">
        <v>286</v>
      </c>
      <c r="AC142" s="8"/>
      <c r="AD142" s="8"/>
    </row>
    <row r="143" customFormat="false" ht="26.85" hidden="false" customHeight="false" outlineLevel="0" collapsed="false">
      <c r="A143" s="9" t="s">
        <v>860</v>
      </c>
      <c r="B143" s="10" t="s">
        <v>83</v>
      </c>
      <c r="C143" s="10" t="s">
        <v>861</v>
      </c>
      <c r="D143" s="10" t="s">
        <v>862</v>
      </c>
      <c r="E143" s="10" t="s">
        <v>257</v>
      </c>
      <c r="F143" s="9" t="n">
        <v>1</v>
      </c>
      <c r="G143" s="9"/>
      <c r="H143" s="9"/>
      <c r="I143" s="9"/>
      <c r="J143" s="9"/>
      <c r="K143" s="9"/>
      <c r="L143" s="9"/>
      <c r="M143" s="9"/>
      <c r="N143" s="9"/>
      <c r="O143" s="9"/>
      <c r="P143" s="9" t="s">
        <v>47</v>
      </c>
      <c r="Q143" s="9"/>
      <c r="R143" s="9" t="s">
        <v>47</v>
      </c>
      <c r="S143" s="9" t="s">
        <v>47</v>
      </c>
      <c r="T143" s="9"/>
      <c r="U143" s="10" t="s">
        <v>150</v>
      </c>
      <c r="V143" s="9" t="n">
        <v>5</v>
      </c>
      <c r="W143" s="9"/>
      <c r="X143" s="9" t="s">
        <v>124</v>
      </c>
      <c r="Y143" s="10" t="s">
        <v>156</v>
      </c>
      <c r="Z143" s="11" t="s">
        <v>834</v>
      </c>
      <c r="AA143" s="11"/>
      <c r="AB143" s="11"/>
      <c r="AC143" s="11"/>
      <c r="AD143" s="11"/>
    </row>
    <row r="144" customFormat="false" ht="26.85" hidden="false" customHeight="false" outlineLevel="0" collapsed="false">
      <c r="A144" s="6" t="s">
        <v>863</v>
      </c>
      <c r="B144" s="7" t="s">
        <v>864</v>
      </c>
      <c r="C144" s="7" t="s">
        <v>865</v>
      </c>
      <c r="D144" s="7" t="s">
        <v>865</v>
      </c>
      <c r="E144" s="7" t="s">
        <v>561</v>
      </c>
      <c r="F144" s="6" t="n">
        <v>1</v>
      </c>
      <c r="G144" s="6" t="s">
        <v>47</v>
      </c>
      <c r="H144" s="6" t="s">
        <v>47</v>
      </c>
      <c r="I144" s="6" t="s">
        <v>47</v>
      </c>
      <c r="J144" s="6" t="s">
        <v>47</v>
      </c>
      <c r="K144" s="6" t="s">
        <v>47</v>
      </c>
      <c r="L144" s="6"/>
      <c r="M144" s="6"/>
      <c r="N144" s="6"/>
      <c r="O144" s="6"/>
      <c r="P144" s="6"/>
      <c r="Q144" s="6"/>
      <c r="R144" s="6"/>
      <c r="S144" s="6" t="s">
        <v>47</v>
      </c>
      <c r="T144" s="6" t="s">
        <v>47</v>
      </c>
      <c r="U144" s="7" t="s">
        <v>284</v>
      </c>
      <c r="V144" s="6" t="n">
        <v>5</v>
      </c>
      <c r="W144" s="6"/>
      <c r="X144" s="6" t="s">
        <v>49</v>
      </c>
      <c r="Y144" s="7"/>
      <c r="Z144" s="8" t="s">
        <v>866</v>
      </c>
      <c r="AA144" s="8"/>
      <c r="AB144" s="8" t="s">
        <v>286</v>
      </c>
      <c r="AC144" s="8" t="s">
        <v>575</v>
      </c>
      <c r="AD144" s="8"/>
    </row>
    <row r="145" customFormat="false" ht="39.55" hidden="false" customHeight="false" outlineLevel="0" collapsed="false">
      <c r="A145" s="9" t="s">
        <v>867</v>
      </c>
      <c r="B145" s="10" t="s">
        <v>868</v>
      </c>
      <c r="C145" s="10" t="s">
        <v>869</v>
      </c>
      <c r="D145" s="10" t="s">
        <v>870</v>
      </c>
      <c r="E145" s="10" t="s">
        <v>561</v>
      </c>
      <c r="F145" s="9" t="n">
        <v>2</v>
      </c>
      <c r="G145" s="9"/>
      <c r="H145" s="9" t="s">
        <v>47</v>
      </c>
      <c r="I145" s="9" t="s">
        <v>47</v>
      </c>
      <c r="J145" s="9" t="s">
        <v>47</v>
      </c>
      <c r="K145" s="9"/>
      <c r="L145" s="9"/>
      <c r="M145" s="9"/>
      <c r="N145" s="9"/>
      <c r="O145" s="9"/>
      <c r="P145" s="9"/>
      <c r="Q145" s="9"/>
      <c r="R145" s="9"/>
      <c r="S145" s="9"/>
      <c r="T145" s="9" t="s">
        <v>47</v>
      </c>
      <c r="U145" s="10" t="s">
        <v>284</v>
      </c>
      <c r="V145" s="9" t="n">
        <v>1</v>
      </c>
      <c r="W145" s="9"/>
      <c r="X145" s="9" t="s">
        <v>49</v>
      </c>
      <c r="Y145" s="10"/>
      <c r="Z145" s="11" t="s">
        <v>871</v>
      </c>
      <c r="AA145" s="11" t="s">
        <v>872</v>
      </c>
      <c r="AB145" s="11" t="s">
        <v>244</v>
      </c>
      <c r="AC145" s="11" t="s">
        <v>873</v>
      </c>
      <c r="AD145" s="11"/>
    </row>
    <row r="146" customFormat="false" ht="15" hidden="false" customHeight="false" outlineLevel="0" collapsed="false">
      <c r="A146" s="6" t="s">
        <v>874</v>
      </c>
      <c r="B146" s="7" t="s">
        <v>875</v>
      </c>
      <c r="C146" s="7" t="s">
        <v>876</v>
      </c>
      <c r="D146" s="7" t="s">
        <v>876</v>
      </c>
      <c r="E146" s="7" t="s">
        <v>561</v>
      </c>
      <c r="F146" s="6" t="n">
        <v>1</v>
      </c>
      <c r="G146" s="6" t="s">
        <v>47</v>
      </c>
      <c r="H146" s="6"/>
      <c r="I146" s="6"/>
      <c r="J146" s="6" t="s">
        <v>47</v>
      </c>
      <c r="K146" s="6"/>
      <c r="L146" s="6" t="s">
        <v>47</v>
      </c>
      <c r="M146" s="6"/>
      <c r="N146" s="6"/>
      <c r="O146" s="6"/>
      <c r="P146" s="6"/>
      <c r="Q146" s="6"/>
      <c r="R146" s="6"/>
      <c r="S146" s="6" t="s">
        <v>47</v>
      </c>
      <c r="T146" s="6"/>
      <c r="U146" s="7" t="s">
        <v>150</v>
      </c>
      <c r="V146" s="6" t="n">
        <v>5</v>
      </c>
      <c r="W146" s="6" t="n">
        <v>3</v>
      </c>
      <c r="X146" s="6" t="s">
        <v>49</v>
      </c>
      <c r="Y146" s="7"/>
      <c r="Z146" s="8" t="s">
        <v>877</v>
      </c>
      <c r="AA146" s="8"/>
      <c r="AB146" s="8"/>
      <c r="AC146" s="8" t="s">
        <v>402</v>
      </c>
      <c r="AD146" s="8"/>
    </row>
    <row r="147" customFormat="false" ht="15" hidden="false" customHeight="false" outlineLevel="0" collapsed="false">
      <c r="A147" s="9" t="s">
        <v>878</v>
      </c>
      <c r="B147" s="10" t="s">
        <v>879</v>
      </c>
      <c r="C147" s="10" t="s">
        <v>880</v>
      </c>
      <c r="D147" s="10" t="s">
        <v>881</v>
      </c>
      <c r="E147" s="10" t="s">
        <v>561</v>
      </c>
      <c r="F147" s="9" t="n">
        <v>1</v>
      </c>
      <c r="G147" s="9" t="s">
        <v>47</v>
      </c>
      <c r="H147" s="9" t="s">
        <v>47</v>
      </c>
      <c r="I147" s="9" t="s">
        <v>47</v>
      </c>
      <c r="J147" s="9" t="s">
        <v>47</v>
      </c>
      <c r="K147" s="9" t="s">
        <v>47</v>
      </c>
      <c r="L147" s="9"/>
      <c r="M147" s="9"/>
      <c r="N147" s="9"/>
      <c r="O147" s="9"/>
      <c r="P147" s="9"/>
      <c r="Q147" s="9"/>
      <c r="R147" s="9"/>
      <c r="S147" s="9" t="s">
        <v>47</v>
      </c>
      <c r="T147" s="9" t="s">
        <v>47</v>
      </c>
      <c r="U147" s="10" t="s">
        <v>150</v>
      </c>
      <c r="V147" s="9" t="n">
        <v>5</v>
      </c>
      <c r="W147" s="9"/>
      <c r="X147" s="9" t="s">
        <v>49</v>
      </c>
      <c r="Y147" s="10"/>
      <c r="Z147" s="11" t="s">
        <v>882</v>
      </c>
      <c r="AA147" s="11" t="s">
        <v>883</v>
      </c>
      <c r="AB147" s="11" t="s">
        <v>286</v>
      </c>
      <c r="AC147" s="11" t="s">
        <v>575</v>
      </c>
      <c r="AD147" s="11"/>
    </row>
    <row r="148" customFormat="false" ht="52.2" hidden="false" customHeight="false" outlineLevel="0" collapsed="false">
      <c r="A148" s="6" t="s">
        <v>884</v>
      </c>
      <c r="B148" s="7" t="s">
        <v>885</v>
      </c>
      <c r="C148" s="7" t="s">
        <v>886</v>
      </c>
      <c r="D148" s="7" t="s">
        <v>887</v>
      </c>
      <c r="E148" s="7" t="s">
        <v>561</v>
      </c>
      <c r="F148" s="6" t="n">
        <v>2</v>
      </c>
      <c r="G148" s="6" t="s">
        <v>47</v>
      </c>
      <c r="H148" s="6" t="s">
        <v>47</v>
      </c>
      <c r="I148" s="6" t="s">
        <v>47</v>
      </c>
      <c r="J148" s="6" t="s">
        <v>47</v>
      </c>
      <c r="K148" s="6" t="s">
        <v>47</v>
      </c>
      <c r="L148" s="6"/>
      <c r="M148" s="6"/>
      <c r="N148" s="6"/>
      <c r="O148" s="6"/>
      <c r="P148" s="6"/>
      <c r="Q148" s="6"/>
      <c r="R148" s="6"/>
      <c r="S148" s="6"/>
      <c r="T148" s="6" t="s">
        <v>47</v>
      </c>
      <c r="U148" s="7" t="s">
        <v>581</v>
      </c>
      <c r="V148" s="6" t="n">
        <v>5</v>
      </c>
      <c r="W148" s="6"/>
      <c r="X148" s="6" t="s">
        <v>49</v>
      </c>
      <c r="Y148" s="7"/>
      <c r="Z148" s="8" t="s">
        <v>888</v>
      </c>
      <c r="AA148" s="8" t="s">
        <v>889</v>
      </c>
      <c r="AB148" s="8" t="s">
        <v>890</v>
      </c>
      <c r="AC148" s="8" t="s">
        <v>891</v>
      </c>
      <c r="AD148" s="8"/>
    </row>
    <row r="149" customFormat="false" ht="39.55" hidden="false" customHeight="false" outlineLevel="0" collapsed="false">
      <c r="A149" s="9" t="s">
        <v>892</v>
      </c>
      <c r="B149" s="10" t="s">
        <v>893</v>
      </c>
      <c r="C149" s="10" t="s">
        <v>894</v>
      </c>
      <c r="D149" s="10" t="s">
        <v>895</v>
      </c>
      <c r="E149" s="10" t="s">
        <v>561</v>
      </c>
      <c r="F149" s="9" t="n">
        <v>3</v>
      </c>
      <c r="G149" s="9"/>
      <c r="H149" s="9"/>
      <c r="I149" s="9"/>
      <c r="J149" s="9" t="s">
        <v>47</v>
      </c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10" t="s">
        <v>581</v>
      </c>
      <c r="V149" s="9" t="n">
        <v>3</v>
      </c>
      <c r="W149" s="9"/>
      <c r="X149" s="9" t="s">
        <v>124</v>
      </c>
      <c r="Y149" s="10"/>
      <c r="Z149" s="11" t="s">
        <v>896</v>
      </c>
      <c r="AA149" s="11" t="s">
        <v>886</v>
      </c>
      <c r="AB149" s="11" t="s">
        <v>286</v>
      </c>
      <c r="AC149" s="11"/>
      <c r="AD149" s="11"/>
    </row>
    <row r="150" customFormat="false" ht="52.2" hidden="false" customHeight="false" outlineLevel="0" collapsed="false">
      <c r="A150" s="6" t="s">
        <v>897</v>
      </c>
      <c r="B150" s="7" t="s">
        <v>898</v>
      </c>
      <c r="C150" s="7" t="s">
        <v>899</v>
      </c>
      <c r="D150" s="7" t="s">
        <v>900</v>
      </c>
      <c r="E150" s="7" t="s">
        <v>561</v>
      </c>
      <c r="F150" s="6" t="n">
        <v>2</v>
      </c>
      <c r="G150" s="6" t="s">
        <v>47</v>
      </c>
      <c r="H150" s="6" t="s">
        <v>47</v>
      </c>
      <c r="I150" s="6" t="s">
        <v>47</v>
      </c>
      <c r="J150" s="6" t="s">
        <v>47</v>
      </c>
      <c r="K150" s="6"/>
      <c r="L150" s="6"/>
      <c r="M150" s="6"/>
      <c r="N150" s="6"/>
      <c r="O150" s="6"/>
      <c r="P150" s="6"/>
      <c r="Q150" s="6"/>
      <c r="R150" s="6"/>
      <c r="S150" s="6"/>
      <c r="T150" s="6" t="s">
        <v>47</v>
      </c>
      <c r="U150" s="7" t="s">
        <v>581</v>
      </c>
      <c r="V150" s="6" t="n">
        <v>5</v>
      </c>
      <c r="W150" s="6"/>
      <c r="X150" s="6" t="s">
        <v>49</v>
      </c>
      <c r="Y150" s="7" t="s">
        <v>251</v>
      </c>
      <c r="Z150" s="8" t="s">
        <v>901</v>
      </c>
      <c r="AA150" s="8" t="s">
        <v>902</v>
      </c>
      <c r="AB150" s="8" t="s">
        <v>903</v>
      </c>
      <c r="AC150" s="8" t="s">
        <v>904</v>
      </c>
      <c r="AD150" s="8"/>
    </row>
    <row r="151" customFormat="false" ht="39.55" hidden="false" customHeight="false" outlineLevel="0" collapsed="false">
      <c r="A151" s="9" t="s">
        <v>905</v>
      </c>
      <c r="B151" s="10" t="s">
        <v>906</v>
      </c>
      <c r="C151" s="10" t="s">
        <v>907</v>
      </c>
      <c r="D151" s="10" t="s">
        <v>908</v>
      </c>
      <c r="E151" s="10" t="s">
        <v>561</v>
      </c>
      <c r="F151" s="9" t="n">
        <v>3</v>
      </c>
      <c r="G151" s="9"/>
      <c r="H151" s="9"/>
      <c r="I151" s="9" t="s">
        <v>47</v>
      </c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10" t="s">
        <v>581</v>
      </c>
      <c r="V151" s="9" t="n">
        <v>5</v>
      </c>
      <c r="W151" s="9"/>
      <c r="X151" s="9" t="s">
        <v>49</v>
      </c>
      <c r="Y151" s="10"/>
      <c r="Z151" s="11" t="s">
        <v>909</v>
      </c>
      <c r="AA151" s="11" t="s">
        <v>910</v>
      </c>
      <c r="AB151" s="11" t="s">
        <v>286</v>
      </c>
      <c r="AC151" s="11"/>
      <c r="AD151" s="11"/>
    </row>
    <row r="152" customFormat="false" ht="52.2" hidden="false" customHeight="false" outlineLevel="0" collapsed="false">
      <c r="A152" s="6" t="s">
        <v>911</v>
      </c>
      <c r="B152" s="7" t="s">
        <v>912</v>
      </c>
      <c r="C152" s="7" t="s">
        <v>913</v>
      </c>
      <c r="D152" s="7" t="s">
        <v>914</v>
      </c>
      <c r="E152" s="7" t="s">
        <v>561</v>
      </c>
      <c r="F152" s="6" t="n">
        <v>3</v>
      </c>
      <c r="G152" s="6"/>
      <c r="H152" s="6"/>
      <c r="I152" s="6" t="s">
        <v>47</v>
      </c>
      <c r="J152" s="6" t="s">
        <v>47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7" t="s">
        <v>581</v>
      </c>
      <c r="V152" s="6" t="n">
        <v>5</v>
      </c>
      <c r="W152" s="6"/>
      <c r="X152" s="6" t="s">
        <v>49</v>
      </c>
      <c r="Y152" s="7"/>
      <c r="Z152" s="8" t="s">
        <v>901</v>
      </c>
      <c r="AA152" s="8" t="s">
        <v>910</v>
      </c>
      <c r="AB152" s="8" t="s">
        <v>286</v>
      </c>
      <c r="AC152" s="8" t="s">
        <v>915</v>
      </c>
      <c r="AD152" s="8"/>
    </row>
    <row r="153" customFormat="false" ht="26.85" hidden="false" customHeight="false" outlineLevel="0" collapsed="false">
      <c r="A153" s="9" t="s">
        <v>916</v>
      </c>
      <c r="B153" s="10" t="s">
        <v>917</v>
      </c>
      <c r="C153" s="10" t="s">
        <v>918</v>
      </c>
      <c r="D153" s="10" t="s">
        <v>919</v>
      </c>
      <c r="E153" s="10" t="s">
        <v>561</v>
      </c>
      <c r="F153" s="9" t="n">
        <v>1</v>
      </c>
      <c r="G153" s="9" t="s">
        <v>47</v>
      </c>
      <c r="H153" s="9" t="s">
        <v>47</v>
      </c>
      <c r="I153" s="9" t="s">
        <v>47</v>
      </c>
      <c r="J153" s="9" t="s">
        <v>47</v>
      </c>
      <c r="K153" s="9" t="s">
        <v>47</v>
      </c>
      <c r="L153" s="9"/>
      <c r="M153" s="9"/>
      <c r="N153" s="9"/>
      <c r="O153" s="9" t="s">
        <v>47</v>
      </c>
      <c r="P153" s="9"/>
      <c r="Q153" s="9" t="s">
        <v>47</v>
      </c>
      <c r="R153" s="9" t="s">
        <v>47</v>
      </c>
      <c r="S153" s="9" t="s">
        <v>47</v>
      </c>
      <c r="T153" s="9" t="s">
        <v>47</v>
      </c>
      <c r="U153" s="10" t="s">
        <v>150</v>
      </c>
      <c r="V153" s="9" t="n">
        <v>5</v>
      </c>
      <c r="W153" s="9"/>
      <c r="X153" s="9" t="s">
        <v>49</v>
      </c>
      <c r="Y153" s="10"/>
      <c r="Z153" s="11" t="s">
        <v>920</v>
      </c>
      <c r="AA153" s="11" t="s">
        <v>921</v>
      </c>
      <c r="AB153" s="11" t="s">
        <v>922</v>
      </c>
      <c r="AC153" s="11" t="s">
        <v>923</v>
      </c>
      <c r="AD153" s="11"/>
    </row>
    <row r="154" customFormat="false" ht="26.85" hidden="false" customHeight="false" outlineLevel="0" collapsed="false">
      <c r="A154" s="6" t="s">
        <v>924</v>
      </c>
      <c r="B154" s="7" t="s">
        <v>83</v>
      </c>
      <c r="C154" s="7" t="s">
        <v>925</v>
      </c>
      <c r="D154" s="7" t="s">
        <v>926</v>
      </c>
      <c r="E154" s="7" t="s">
        <v>561</v>
      </c>
      <c r="F154" s="6" t="n">
        <v>1</v>
      </c>
      <c r="G154" s="6" t="s">
        <v>47</v>
      </c>
      <c r="H154" s="6"/>
      <c r="I154" s="6"/>
      <c r="J154" s="6" t="s">
        <v>47</v>
      </c>
      <c r="K154" s="6"/>
      <c r="L154" s="6" t="s">
        <v>47</v>
      </c>
      <c r="M154" s="6" t="s">
        <v>47</v>
      </c>
      <c r="N154" s="6"/>
      <c r="O154" s="6"/>
      <c r="P154" s="6"/>
      <c r="Q154" s="6" t="s">
        <v>47</v>
      </c>
      <c r="R154" s="6"/>
      <c r="S154" s="6" t="s">
        <v>47</v>
      </c>
      <c r="T154" s="6"/>
      <c r="U154" s="7" t="s">
        <v>720</v>
      </c>
      <c r="V154" s="6"/>
      <c r="W154" s="6" t="n">
        <v>3</v>
      </c>
      <c r="X154" s="6" t="s">
        <v>49</v>
      </c>
      <c r="Y154" s="7" t="s">
        <v>927</v>
      </c>
      <c r="Z154" s="8" t="s">
        <v>928</v>
      </c>
      <c r="AA154" s="8"/>
      <c r="AB154" s="8"/>
      <c r="AC154" s="8"/>
      <c r="AD154" s="8"/>
    </row>
    <row r="155" customFormat="false" ht="52.2" hidden="false" customHeight="false" outlineLevel="0" collapsed="false">
      <c r="A155" s="9" t="s">
        <v>929</v>
      </c>
      <c r="B155" s="10" t="s">
        <v>930</v>
      </c>
      <c r="C155" s="10" t="s">
        <v>931</v>
      </c>
      <c r="D155" s="10" t="s">
        <v>932</v>
      </c>
      <c r="E155" s="10" t="s">
        <v>561</v>
      </c>
      <c r="F155" s="9" t="n">
        <v>3</v>
      </c>
      <c r="G155" s="9" t="s">
        <v>47</v>
      </c>
      <c r="H155" s="9" t="s">
        <v>47</v>
      </c>
      <c r="I155" s="9" t="s">
        <v>47</v>
      </c>
      <c r="J155" s="9" t="s">
        <v>47</v>
      </c>
      <c r="K155" s="9"/>
      <c r="L155" s="9"/>
      <c r="M155" s="9"/>
      <c r="N155" s="9"/>
      <c r="O155" s="9"/>
      <c r="P155" s="9"/>
      <c r="Q155" s="9"/>
      <c r="R155" s="9"/>
      <c r="S155" s="9"/>
      <c r="T155" s="9" t="s">
        <v>47</v>
      </c>
      <c r="U155" s="10" t="s">
        <v>581</v>
      </c>
      <c r="V155" s="9" t="n">
        <v>5</v>
      </c>
      <c r="W155" s="9"/>
      <c r="X155" s="9" t="s">
        <v>49</v>
      </c>
      <c r="Y155" s="10"/>
      <c r="Z155" s="11" t="s">
        <v>933</v>
      </c>
      <c r="AA155" s="11" t="s">
        <v>934</v>
      </c>
      <c r="AB155" s="11" t="s">
        <v>935</v>
      </c>
      <c r="AC155" s="11" t="s">
        <v>936</v>
      </c>
      <c r="AD155" s="11"/>
    </row>
    <row r="156" customFormat="false" ht="39.55" hidden="false" customHeight="false" outlineLevel="0" collapsed="false">
      <c r="A156" s="6" t="s">
        <v>937</v>
      </c>
      <c r="B156" s="7" t="s">
        <v>938</v>
      </c>
      <c r="C156" s="7" t="s">
        <v>939</v>
      </c>
      <c r="D156" s="7" t="s">
        <v>940</v>
      </c>
      <c r="E156" s="7" t="s">
        <v>561</v>
      </c>
      <c r="F156" s="6" t="n">
        <v>2</v>
      </c>
      <c r="G156" s="6"/>
      <c r="H156" s="6" t="s">
        <v>47</v>
      </c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 t="s">
        <v>47</v>
      </c>
      <c r="U156" s="7" t="s">
        <v>581</v>
      </c>
      <c r="V156" s="6" t="n">
        <v>3</v>
      </c>
      <c r="W156" s="6"/>
      <c r="X156" s="6" t="s">
        <v>124</v>
      </c>
      <c r="Y156" s="7"/>
      <c r="Z156" s="8" t="s">
        <v>941</v>
      </c>
      <c r="AA156" s="8" t="s">
        <v>942</v>
      </c>
      <c r="AB156" s="8" t="s">
        <v>286</v>
      </c>
      <c r="AC156" s="8"/>
      <c r="AD156" s="8"/>
    </row>
    <row r="157" customFormat="false" ht="26.85" hidden="false" customHeight="false" outlineLevel="0" collapsed="false">
      <c r="A157" s="9" t="s">
        <v>943</v>
      </c>
      <c r="B157" s="10" t="s">
        <v>944</v>
      </c>
      <c r="C157" s="10" t="s">
        <v>685</v>
      </c>
      <c r="D157" s="10" t="s">
        <v>945</v>
      </c>
      <c r="E157" s="10" t="s">
        <v>561</v>
      </c>
      <c r="F157" s="9" t="n">
        <v>1</v>
      </c>
      <c r="G157" s="9" t="s">
        <v>47</v>
      </c>
      <c r="H157" s="9"/>
      <c r="I157" s="9" t="s">
        <v>47</v>
      </c>
      <c r="J157" s="9" t="s">
        <v>47</v>
      </c>
      <c r="K157" s="9" t="s">
        <v>47</v>
      </c>
      <c r="L157" s="9"/>
      <c r="M157" s="9"/>
      <c r="N157" s="9"/>
      <c r="O157" s="9"/>
      <c r="P157" s="9"/>
      <c r="Q157" s="9"/>
      <c r="R157" s="9"/>
      <c r="S157" s="9"/>
      <c r="T157" s="9"/>
      <c r="U157" s="10" t="s">
        <v>720</v>
      </c>
      <c r="V157" s="9" t="n">
        <v>5</v>
      </c>
      <c r="W157" s="9"/>
      <c r="X157" s="9" t="s">
        <v>49</v>
      </c>
      <c r="Y157" s="10"/>
      <c r="Z157" s="11" t="s">
        <v>946</v>
      </c>
      <c r="AA157" s="11" t="s">
        <v>947</v>
      </c>
      <c r="AB157" s="11" t="s">
        <v>354</v>
      </c>
      <c r="AC157" s="11" t="s">
        <v>698</v>
      </c>
      <c r="AD157" s="11"/>
    </row>
    <row r="158" customFormat="false" ht="26.85" hidden="false" customHeight="false" outlineLevel="0" collapsed="false">
      <c r="A158" s="6" t="s">
        <v>948</v>
      </c>
      <c r="B158" s="7" t="s">
        <v>83</v>
      </c>
      <c r="C158" s="7" t="s">
        <v>949</v>
      </c>
      <c r="D158" s="7" t="s">
        <v>950</v>
      </c>
      <c r="E158" s="7" t="s">
        <v>561</v>
      </c>
      <c r="F158" s="6" t="n">
        <v>1</v>
      </c>
      <c r="G158" s="6"/>
      <c r="H158" s="6"/>
      <c r="I158" s="6"/>
      <c r="J158" s="6" t="s">
        <v>47</v>
      </c>
      <c r="K158" s="6"/>
      <c r="L158" s="6"/>
      <c r="M158" s="6" t="s">
        <v>47</v>
      </c>
      <c r="N158" s="6"/>
      <c r="O158" s="6"/>
      <c r="P158" s="6"/>
      <c r="Q158" s="6" t="s">
        <v>47</v>
      </c>
      <c r="R158" s="6"/>
      <c r="S158" s="6"/>
      <c r="T158" s="6"/>
      <c r="U158" s="7" t="s">
        <v>714</v>
      </c>
      <c r="V158" s="6"/>
      <c r="W158" s="6" t="n">
        <v>5</v>
      </c>
      <c r="X158" s="6" t="s">
        <v>49</v>
      </c>
      <c r="Y158" s="7" t="s">
        <v>951</v>
      </c>
      <c r="Z158" s="8" t="s">
        <v>952</v>
      </c>
      <c r="AA158" s="8"/>
      <c r="AB158" s="8"/>
      <c r="AC158" s="8"/>
      <c r="AD158" s="8"/>
    </row>
    <row r="159" customFormat="false" ht="39.55" hidden="false" customHeight="false" outlineLevel="0" collapsed="false">
      <c r="A159" s="9" t="s">
        <v>953</v>
      </c>
      <c r="B159" s="10" t="s">
        <v>954</v>
      </c>
      <c r="C159" s="10" t="s">
        <v>955</v>
      </c>
      <c r="D159" s="10" t="s">
        <v>956</v>
      </c>
      <c r="E159" s="10" t="s">
        <v>561</v>
      </c>
      <c r="F159" s="9" t="n">
        <v>2</v>
      </c>
      <c r="G159" s="9" t="s">
        <v>47</v>
      </c>
      <c r="H159" s="9"/>
      <c r="I159" s="9"/>
      <c r="J159" s="9" t="s">
        <v>47</v>
      </c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10" t="s">
        <v>150</v>
      </c>
      <c r="V159" s="9" t="n">
        <v>8</v>
      </c>
      <c r="W159" s="9"/>
      <c r="X159" s="9" t="s">
        <v>49</v>
      </c>
      <c r="Y159" s="10" t="s">
        <v>957</v>
      </c>
      <c r="Z159" s="11" t="s">
        <v>958</v>
      </c>
      <c r="AA159" s="11" t="s">
        <v>959</v>
      </c>
      <c r="AB159" s="11" t="s">
        <v>354</v>
      </c>
      <c r="AC159" s="11" t="s">
        <v>960</v>
      </c>
      <c r="AD159" s="11"/>
    </row>
    <row r="160" customFormat="false" ht="26.85" hidden="false" customHeight="false" outlineLevel="0" collapsed="false">
      <c r="A160" s="6" t="s">
        <v>961</v>
      </c>
      <c r="B160" s="7" t="s">
        <v>962</v>
      </c>
      <c r="C160" s="7" t="s">
        <v>963</v>
      </c>
      <c r="D160" s="7" t="s">
        <v>964</v>
      </c>
      <c r="E160" s="7" t="s">
        <v>561</v>
      </c>
      <c r="F160" s="6" t="n">
        <v>3</v>
      </c>
      <c r="G160" s="6"/>
      <c r="H160" s="6"/>
      <c r="I160" s="6"/>
      <c r="J160" s="6" t="s">
        <v>47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7" t="s">
        <v>581</v>
      </c>
      <c r="V160" s="6" t="n">
        <v>5</v>
      </c>
      <c r="W160" s="6"/>
      <c r="X160" s="6" t="s">
        <v>49</v>
      </c>
      <c r="Y160" s="7"/>
      <c r="Z160" s="8" t="s">
        <v>965</v>
      </c>
      <c r="AA160" s="8" t="s">
        <v>966</v>
      </c>
      <c r="AB160" s="8" t="s">
        <v>286</v>
      </c>
      <c r="AC160" s="8" t="s">
        <v>145</v>
      </c>
      <c r="AD160" s="8"/>
    </row>
    <row r="161" customFormat="false" ht="26.85" hidden="false" customHeight="false" outlineLevel="0" collapsed="false">
      <c r="A161" s="9" t="s">
        <v>967</v>
      </c>
      <c r="B161" s="10" t="s">
        <v>968</v>
      </c>
      <c r="C161" s="10" t="s">
        <v>969</v>
      </c>
      <c r="D161" s="10" t="s">
        <v>970</v>
      </c>
      <c r="E161" s="10" t="s">
        <v>561</v>
      </c>
      <c r="F161" s="9" t="n">
        <v>2</v>
      </c>
      <c r="G161" s="9"/>
      <c r="H161" s="9"/>
      <c r="I161" s="9" t="s">
        <v>47</v>
      </c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10" t="s">
        <v>581</v>
      </c>
      <c r="V161" s="9" t="n">
        <v>5</v>
      </c>
      <c r="W161" s="9"/>
      <c r="X161" s="9" t="s">
        <v>49</v>
      </c>
      <c r="Y161" s="10"/>
      <c r="Z161" s="11" t="s">
        <v>971</v>
      </c>
      <c r="AA161" s="11" t="s">
        <v>972</v>
      </c>
      <c r="AB161" s="11" t="s">
        <v>354</v>
      </c>
      <c r="AC161" s="11" t="s">
        <v>698</v>
      </c>
      <c r="AD161" s="11"/>
    </row>
    <row r="162" customFormat="false" ht="15" hidden="false" customHeight="false" outlineLevel="0" collapsed="false">
      <c r="A162" s="6" t="s">
        <v>973</v>
      </c>
      <c r="B162" s="7" t="s">
        <v>974</v>
      </c>
      <c r="C162" s="7" t="s">
        <v>975</v>
      </c>
      <c r="D162" s="7" t="s">
        <v>975</v>
      </c>
      <c r="E162" s="7" t="s">
        <v>714</v>
      </c>
      <c r="F162" s="6" t="n">
        <v>1</v>
      </c>
      <c r="G162" s="6" t="s">
        <v>47</v>
      </c>
      <c r="H162" s="6"/>
      <c r="I162" s="6"/>
      <c r="J162" s="6"/>
      <c r="K162" s="6" t="s">
        <v>47</v>
      </c>
      <c r="L162" s="6"/>
      <c r="M162" s="6" t="s">
        <v>47</v>
      </c>
      <c r="N162" s="6"/>
      <c r="O162" s="6"/>
      <c r="P162" s="6"/>
      <c r="Q162" s="6"/>
      <c r="R162" s="6"/>
      <c r="S162" s="6" t="s">
        <v>47</v>
      </c>
      <c r="T162" s="6"/>
      <c r="U162" s="7" t="s">
        <v>714</v>
      </c>
      <c r="V162" s="6"/>
      <c r="W162" s="6" t="n">
        <v>5</v>
      </c>
      <c r="X162" s="6" t="s">
        <v>49</v>
      </c>
      <c r="Y162" s="7"/>
      <c r="Z162" s="8" t="s">
        <v>976</v>
      </c>
      <c r="AA162" s="8"/>
      <c r="AB162" s="8"/>
      <c r="AC162" s="8" t="s">
        <v>977</v>
      </c>
      <c r="AD162" s="8"/>
    </row>
    <row r="163" customFormat="false" ht="26.85" hidden="false" customHeight="false" outlineLevel="0" collapsed="false">
      <c r="A163" s="9" t="s">
        <v>978</v>
      </c>
      <c r="B163" s="10" t="s">
        <v>979</v>
      </c>
      <c r="C163" s="10" t="s">
        <v>980</v>
      </c>
      <c r="D163" s="10" t="s">
        <v>981</v>
      </c>
      <c r="E163" s="10" t="s">
        <v>227</v>
      </c>
      <c r="F163" s="9" t="n">
        <v>1</v>
      </c>
      <c r="G163" s="9" t="s">
        <v>47</v>
      </c>
      <c r="H163" s="9" t="s">
        <v>47</v>
      </c>
      <c r="I163" s="9" t="s">
        <v>47</v>
      </c>
      <c r="J163" s="9" t="s">
        <v>47</v>
      </c>
      <c r="K163" s="9" t="s">
        <v>47</v>
      </c>
      <c r="L163" s="9"/>
      <c r="M163" s="9"/>
      <c r="N163" s="9"/>
      <c r="O163" s="9"/>
      <c r="P163" s="9"/>
      <c r="Q163" s="9"/>
      <c r="R163" s="9"/>
      <c r="S163" s="9" t="s">
        <v>47</v>
      </c>
      <c r="T163" s="9"/>
      <c r="U163" s="10" t="s">
        <v>720</v>
      </c>
      <c r="V163" s="9" t="n">
        <v>5</v>
      </c>
      <c r="W163" s="9"/>
      <c r="X163" s="9" t="s">
        <v>124</v>
      </c>
      <c r="Y163" s="10"/>
      <c r="Z163" s="11" t="s">
        <v>982</v>
      </c>
      <c r="AA163" s="11" t="s">
        <v>201</v>
      </c>
      <c r="AB163" s="11"/>
      <c r="AC163" s="11" t="s">
        <v>983</v>
      </c>
      <c r="AD163" s="11"/>
    </row>
    <row r="164" customFormat="false" ht="15" hidden="false" customHeight="false" outlineLevel="0" collapsed="false">
      <c r="A164" s="6" t="s">
        <v>984</v>
      </c>
      <c r="B164" s="7" t="s">
        <v>985</v>
      </c>
      <c r="C164" s="7" t="s">
        <v>986</v>
      </c>
      <c r="D164" s="7" t="s">
        <v>987</v>
      </c>
      <c r="E164" s="7" t="s">
        <v>227</v>
      </c>
      <c r="F164" s="6" t="n">
        <v>1</v>
      </c>
      <c r="G164" s="6" t="s">
        <v>47</v>
      </c>
      <c r="H164" s="6"/>
      <c r="I164" s="6"/>
      <c r="J164" s="6" t="s">
        <v>47</v>
      </c>
      <c r="K164" s="6"/>
      <c r="L164" s="6"/>
      <c r="M164" s="6"/>
      <c r="N164" s="6"/>
      <c r="O164" s="6"/>
      <c r="P164" s="6" t="s">
        <v>47</v>
      </c>
      <c r="Q164" s="6"/>
      <c r="R164" s="6"/>
      <c r="S164" s="6" t="s">
        <v>47</v>
      </c>
      <c r="T164" s="6"/>
      <c r="U164" s="7" t="s">
        <v>720</v>
      </c>
      <c r="V164" s="6" t="n">
        <v>5</v>
      </c>
      <c r="W164" s="6"/>
      <c r="X164" s="6" t="s">
        <v>124</v>
      </c>
      <c r="Y164" s="7"/>
      <c r="Z164" s="8" t="s">
        <v>203</v>
      </c>
      <c r="AA164" s="8"/>
      <c r="AB164" s="8"/>
      <c r="AC164" s="8" t="s">
        <v>988</v>
      </c>
      <c r="AD164" s="8"/>
    </row>
    <row r="165" customFormat="false" ht="26.85" hidden="false" customHeight="false" outlineLevel="0" collapsed="false">
      <c r="A165" s="9" t="s">
        <v>989</v>
      </c>
      <c r="B165" s="10" t="s">
        <v>990</v>
      </c>
      <c r="C165" s="10" t="s">
        <v>991</v>
      </c>
      <c r="D165" s="10" t="s">
        <v>992</v>
      </c>
      <c r="E165" s="10" t="s">
        <v>227</v>
      </c>
      <c r="F165" s="9" t="n">
        <v>2</v>
      </c>
      <c r="G165" s="9" t="s">
        <v>47</v>
      </c>
      <c r="H165" s="9"/>
      <c r="I165" s="9" t="s">
        <v>47</v>
      </c>
      <c r="J165" s="9" t="s">
        <v>47</v>
      </c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10" t="s">
        <v>150</v>
      </c>
      <c r="V165" s="9" t="n">
        <v>5</v>
      </c>
      <c r="W165" s="9"/>
      <c r="X165" s="9" t="s">
        <v>124</v>
      </c>
      <c r="Y165" s="10"/>
      <c r="Z165" s="11" t="s">
        <v>982</v>
      </c>
      <c r="AA165" s="11" t="s">
        <v>980</v>
      </c>
      <c r="AB165" s="11" t="s">
        <v>564</v>
      </c>
      <c r="AC165" s="11" t="s">
        <v>402</v>
      </c>
      <c r="AD165" s="11"/>
    </row>
    <row r="166" customFormat="false" ht="26.85" hidden="false" customHeight="false" outlineLevel="0" collapsed="false">
      <c r="A166" s="6" t="s">
        <v>993</v>
      </c>
      <c r="B166" s="7" t="s">
        <v>994</v>
      </c>
      <c r="C166" s="7" t="s">
        <v>995</v>
      </c>
      <c r="D166" s="7" t="s">
        <v>996</v>
      </c>
      <c r="E166" s="7" t="s">
        <v>227</v>
      </c>
      <c r="F166" s="6" t="n">
        <v>3</v>
      </c>
      <c r="G166" s="6"/>
      <c r="H166" s="6"/>
      <c r="I166" s="6" t="s">
        <v>47</v>
      </c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7" t="s">
        <v>150</v>
      </c>
      <c r="V166" s="6" t="n">
        <v>5</v>
      </c>
      <c r="W166" s="6"/>
      <c r="X166" s="6" t="s">
        <v>124</v>
      </c>
      <c r="Y166" s="7"/>
      <c r="Z166" s="8" t="s">
        <v>982</v>
      </c>
      <c r="AA166" s="8" t="s">
        <v>997</v>
      </c>
      <c r="AB166" s="8" t="s">
        <v>564</v>
      </c>
      <c r="AC166" s="8" t="s">
        <v>145</v>
      </c>
      <c r="AD166" s="8"/>
    </row>
    <row r="167" customFormat="false" ht="26.85" hidden="false" customHeight="false" outlineLevel="0" collapsed="false">
      <c r="A167" s="9" t="s">
        <v>998</v>
      </c>
      <c r="B167" s="10" t="s">
        <v>999</v>
      </c>
      <c r="C167" s="10" t="s">
        <v>1000</v>
      </c>
      <c r="D167" s="10" t="s">
        <v>1001</v>
      </c>
      <c r="E167" s="10" t="s">
        <v>227</v>
      </c>
      <c r="F167" s="9" t="n">
        <v>3</v>
      </c>
      <c r="G167" s="9"/>
      <c r="H167" s="9"/>
      <c r="I167" s="9"/>
      <c r="J167" s="9" t="s">
        <v>47</v>
      </c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10" t="s">
        <v>150</v>
      </c>
      <c r="V167" s="9" t="n">
        <v>5</v>
      </c>
      <c r="W167" s="9"/>
      <c r="X167" s="9" t="s">
        <v>124</v>
      </c>
      <c r="Y167" s="10"/>
      <c r="Z167" s="11" t="s">
        <v>1002</v>
      </c>
      <c r="AA167" s="11" t="s">
        <v>1003</v>
      </c>
      <c r="AB167" s="11" t="s">
        <v>266</v>
      </c>
      <c r="AC167" s="11"/>
      <c r="AD167" s="11"/>
    </row>
    <row r="168" customFormat="false" ht="26.85" hidden="false" customHeight="false" outlineLevel="0" collapsed="false">
      <c r="A168" s="6" t="s">
        <v>1004</v>
      </c>
      <c r="B168" s="7" t="s">
        <v>1005</v>
      </c>
      <c r="C168" s="7" t="s">
        <v>1006</v>
      </c>
      <c r="D168" s="7" t="s">
        <v>1007</v>
      </c>
      <c r="E168" s="7" t="s">
        <v>227</v>
      </c>
      <c r="F168" s="6" t="n">
        <v>1</v>
      </c>
      <c r="G168" s="6" t="s">
        <v>47</v>
      </c>
      <c r="H168" s="6" t="s">
        <v>47</v>
      </c>
      <c r="I168" s="6"/>
      <c r="J168" s="6"/>
      <c r="K168" s="6"/>
      <c r="L168" s="6"/>
      <c r="M168" s="6"/>
      <c r="N168" s="6"/>
      <c r="O168" s="6"/>
      <c r="P168" s="6"/>
      <c r="Q168" s="6" t="s">
        <v>47</v>
      </c>
      <c r="R168" s="6" t="s">
        <v>47</v>
      </c>
      <c r="S168" s="6" t="s">
        <v>47</v>
      </c>
      <c r="T168" s="6" t="s">
        <v>47</v>
      </c>
      <c r="U168" s="7" t="s">
        <v>720</v>
      </c>
      <c r="V168" s="6" t="n">
        <v>8</v>
      </c>
      <c r="W168" s="6"/>
      <c r="X168" s="6" t="s">
        <v>124</v>
      </c>
      <c r="Y168" s="7"/>
      <c r="Z168" s="8" t="s">
        <v>1008</v>
      </c>
      <c r="AA168" s="8"/>
      <c r="AB168" s="8" t="s">
        <v>354</v>
      </c>
      <c r="AC168" s="8"/>
      <c r="AD168" s="8"/>
    </row>
    <row r="169" customFormat="false" ht="26.85" hidden="false" customHeight="false" outlineLevel="0" collapsed="false">
      <c r="A169" s="9" t="s">
        <v>1009</v>
      </c>
      <c r="B169" s="10" t="s">
        <v>1010</v>
      </c>
      <c r="C169" s="10" t="s">
        <v>1011</v>
      </c>
      <c r="D169" s="10" t="s">
        <v>1012</v>
      </c>
      <c r="E169" s="10" t="s">
        <v>227</v>
      </c>
      <c r="F169" s="9" t="n">
        <v>2</v>
      </c>
      <c r="G169" s="9" t="s">
        <v>47</v>
      </c>
      <c r="H169" s="9"/>
      <c r="I169" s="9"/>
      <c r="J169" s="9" t="s">
        <v>47</v>
      </c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10" t="s">
        <v>150</v>
      </c>
      <c r="V169" s="9" t="n">
        <v>5</v>
      </c>
      <c r="W169" s="9"/>
      <c r="X169" s="9" t="s">
        <v>124</v>
      </c>
      <c r="Y169" s="10"/>
      <c r="Z169" s="11" t="s">
        <v>1013</v>
      </c>
      <c r="AA169" s="11" t="s">
        <v>1014</v>
      </c>
      <c r="AB169" s="11" t="s">
        <v>354</v>
      </c>
      <c r="AC169" s="11" t="s">
        <v>575</v>
      </c>
      <c r="AD169" s="11"/>
    </row>
    <row r="170" customFormat="false" ht="15" hidden="false" customHeight="false" outlineLevel="0" collapsed="false">
      <c r="A170" s="6" t="s">
        <v>1015</v>
      </c>
      <c r="B170" s="7" t="s">
        <v>83</v>
      </c>
      <c r="C170" s="7" t="s">
        <v>1016</v>
      </c>
      <c r="D170" s="7" t="s">
        <v>1017</v>
      </c>
      <c r="E170" s="7" t="s">
        <v>227</v>
      </c>
      <c r="F170" s="6" t="n">
        <v>1</v>
      </c>
      <c r="G170" s="6"/>
      <c r="H170" s="6"/>
      <c r="I170" s="6"/>
      <c r="J170" s="6"/>
      <c r="K170" s="6"/>
      <c r="L170" s="6"/>
      <c r="M170" s="6"/>
      <c r="N170" s="6"/>
      <c r="O170" s="6"/>
      <c r="P170" s="6" t="s">
        <v>47</v>
      </c>
      <c r="Q170" s="6"/>
      <c r="R170" s="6" t="s">
        <v>47</v>
      </c>
      <c r="S170" s="6" t="s">
        <v>47</v>
      </c>
      <c r="T170" s="6"/>
      <c r="U170" s="7" t="s">
        <v>720</v>
      </c>
      <c r="V170" s="6" t="n">
        <v>5</v>
      </c>
      <c r="W170" s="6"/>
      <c r="X170" s="6" t="s">
        <v>124</v>
      </c>
      <c r="Y170" s="7" t="s">
        <v>156</v>
      </c>
      <c r="Z170" s="8" t="s">
        <v>203</v>
      </c>
      <c r="AA170" s="8"/>
      <c r="AB170" s="8"/>
      <c r="AC170" s="8" t="s">
        <v>1018</v>
      </c>
      <c r="AD170" s="8"/>
    </row>
    <row r="171" customFormat="false" ht="15" hidden="false" customHeight="false" outlineLevel="0" collapsed="false">
      <c r="A171" s="9" t="s">
        <v>1019</v>
      </c>
      <c r="B171" s="10" t="s">
        <v>83</v>
      </c>
      <c r="C171" s="10" t="s">
        <v>1020</v>
      </c>
      <c r="D171" s="10" t="s">
        <v>1021</v>
      </c>
      <c r="E171" s="10" t="s">
        <v>227</v>
      </c>
      <c r="F171" s="9" t="n">
        <v>1</v>
      </c>
      <c r="G171" s="9"/>
      <c r="H171" s="9"/>
      <c r="I171" s="9"/>
      <c r="J171" s="9"/>
      <c r="K171" s="9"/>
      <c r="L171" s="9"/>
      <c r="M171" s="9" t="s">
        <v>47</v>
      </c>
      <c r="N171" s="9"/>
      <c r="O171" s="9"/>
      <c r="P171" s="9"/>
      <c r="Q171" s="9"/>
      <c r="R171" s="9"/>
      <c r="S171" s="9"/>
      <c r="T171" s="9"/>
      <c r="U171" s="10" t="s">
        <v>720</v>
      </c>
      <c r="V171" s="9"/>
      <c r="W171" s="9" t="n">
        <v>5</v>
      </c>
      <c r="X171" s="9" t="s">
        <v>124</v>
      </c>
      <c r="Y171" s="10" t="s">
        <v>957</v>
      </c>
      <c r="Z171" s="11" t="s">
        <v>1022</v>
      </c>
      <c r="AA171" s="11"/>
      <c r="AB171" s="11"/>
      <c r="AC171" s="11"/>
      <c r="AD171" s="11"/>
    </row>
    <row r="172" customFormat="false" ht="15" hidden="false" customHeight="false" outlineLevel="0" collapsed="false">
      <c r="A172" s="6" t="s">
        <v>1023</v>
      </c>
      <c r="B172" s="7" t="s">
        <v>1024</v>
      </c>
      <c r="C172" s="7" t="s">
        <v>1025</v>
      </c>
      <c r="D172" s="7" t="s">
        <v>1026</v>
      </c>
      <c r="E172" s="7" t="s">
        <v>216</v>
      </c>
      <c r="F172" s="6" t="n">
        <v>1</v>
      </c>
      <c r="G172" s="6" t="s">
        <v>47</v>
      </c>
      <c r="H172" s="6" t="s">
        <v>47</v>
      </c>
      <c r="I172" s="6"/>
      <c r="J172" s="6" t="s">
        <v>47</v>
      </c>
      <c r="K172" s="6"/>
      <c r="L172" s="6"/>
      <c r="M172" s="6"/>
      <c r="N172" s="6"/>
      <c r="O172" s="6"/>
      <c r="P172" s="6" t="s">
        <v>47</v>
      </c>
      <c r="Q172" s="6"/>
      <c r="R172" s="6"/>
      <c r="S172" s="6" t="s">
        <v>47</v>
      </c>
      <c r="T172" s="6"/>
      <c r="U172" s="7" t="s">
        <v>150</v>
      </c>
      <c r="V172" s="6" t="n">
        <v>5</v>
      </c>
      <c r="W172" s="6"/>
      <c r="X172" s="6" t="s">
        <v>124</v>
      </c>
      <c r="Y172" s="7" t="s">
        <v>241</v>
      </c>
      <c r="Z172" s="8" t="s">
        <v>1027</v>
      </c>
      <c r="AA172" s="8"/>
      <c r="AB172" s="8"/>
      <c r="AC172" s="8"/>
      <c r="AD172" s="8"/>
    </row>
    <row r="173" customFormat="false" ht="15" hidden="false" customHeight="false" outlineLevel="0" collapsed="false">
      <c r="A173" s="9" t="s">
        <v>1028</v>
      </c>
      <c r="B173" s="10" t="s">
        <v>1029</v>
      </c>
      <c r="C173" s="10" t="s">
        <v>354</v>
      </c>
      <c r="D173" s="10" t="s">
        <v>1030</v>
      </c>
      <c r="E173" s="10" t="s">
        <v>233</v>
      </c>
      <c r="F173" s="9" t="n">
        <v>1</v>
      </c>
      <c r="G173" s="9" t="s">
        <v>47</v>
      </c>
      <c r="H173" s="9" t="s">
        <v>47</v>
      </c>
      <c r="I173" s="9"/>
      <c r="J173" s="9"/>
      <c r="K173" s="9"/>
      <c r="L173" s="9"/>
      <c r="M173" s="9" t="s">
        <v>47</v>
      </c>
      <c r="N173" s="9"/>
      <c r="O173" s="9" t="s">
        <v>47</v>
      </c>
      <c r="P173" s="9"/>
      <c r="Q173" s="9" t="s">
        <v>47</v>
      </c>
      <c r="R173" s="9" t="s">
        <v>47</v>
      </c>
      <c r="S173" s="9" t="s">
        <v>47</v>
      </c>
      <c r="T173" s="9"/>
      <c r="U173" s="10" t="s">
        <v>720</v>
      </c>
      <c r="V173" s="9" t="n">
        <v>8</v>
      </c>
      <c r="W173" s="9" t="n">
        <v>5</v>
      </c>
      <c r="X173" s="9" t="s">
        <v>49</v>
      </c>
      <c r="Y173" s="10"/>
      <c r="Z173" s="11" t="s">
        <v>1031</v>
      </c>
      <c r="AA173" s="11"/>
      <c r="AB173" s="11"/>
      <c r="AC173" s="11"/>
      <c r="AD173" s="11"/>
    </row>
    <row r="174" customFormat="false" ht="15" hidden="false" customHeight="false" outlineLevel="0" collapsed="false">
      <c r="A174" s="6" t="s">
        <v>1032</v>
      </c>
      <c r="B174" s="7" t="s">
        <v>83</v>
      </c>
      <c r="C174" s="7" t="s">
        <v>1033</v>
      </c>
      <c r="D174" s="7" t="s">
        <v>1034</v>
      </c>
      <c r="E174" s="7" t="s">
        <v>250</v>
      </c>
      <c r="F174" s="6" t="n">
        <v>1</v>
      </c>
      <c r="G174" s="6"/>
      <c r="H174" s="6"/>
      <c r="I174" s="6"/>
      <c r="J174" s="6"/>
      <c r="K174" s="6"/>
      <c r="L174" s="6"/>
      <c r="M174" s="6" t="s">
        <v>47</v>
      </c>
      <c r="N174" s="6"/>
      <c r="O174" s="6"/>
      <c r="P174" s="6" t="s">
        <v>47</v>
      </c>
      <c r="Q174" s="6" t="s">
        <v>47</v>
      </c>
      <c r="R174" s="6"/>
      <c r="S174" s="6"/>
      <c r="T174" s="6"/>
      <c r="U174" s="7" t="s">
        <v>720</v>
      </c>
      <c r="V174" s="6"/>
      <c r="W174" s="6" t="n">
        <v>5</v>
      </c>
      <c r="X174" s="6" t="s">
        <v>49</v>
      </c>
      <c r="Y174" s="7" t="s">
        <v>957</v>
      </c>
      <c r="Z174" s="8" t="s">
        <v>976</v>
      </c>
      <c r="AA174" s="8"/>
      <c r="AB174" s="8"/>
      <c r="AC174" s="8"/>
      <c r="AD174" s="8"/>
    </row>
    <row r="175" customFormat="false" ht="15" hidden="false" customHeight="false" outlineLevel="0" collapsed="false">
      <c r="A175" s="9" t="s">
        <v>1035</v>
      </c>
      <c r="B175" s="10" t="s">
        <v>83</v>
      </c>
      <c r="C175" s="10" t="s">
        <v>1036</v>
      </c>
      <c r="D175" s="10" t="s">
        <v>1037</v>
      </c>
      <c r="E175" s="10" t="s">
        <v>250</v>
      </c>
      <c r="F175" s="9" t="n">
        <v>1</v>
      </c>
      <c r="G175" s="9"/>
      <c r="H175" s="9"/>
      <c r="I175" s="9"/>
      <c r="J175" s="9"/>
      <c r="K175" s="9"/>
      <c r="L175" s="9"/>
      <c r="M175" s="9" t="s">
        <v>47</v>
      </c>
      <c r="N175" s="9"/>
      <c r="O175" s="9"/>
      <c r="P175" s="9"/>
      <c r="Q175" s="9"/>
      <c r="R175" s="9"/>
      <c r="S175" s="9"/>
      <c r="T175" s="9"/>
      <c r="U175" s="10" t="s">
        <v>720</v>
      </c>
      <c r="V175" s="9"/>
      <c r="W175" s="9" t="n">
        <v>5</v>
      </c>
      <c r="X175" s="9" t="s">
        <v>49</v>
      </c>
      <c r="Y175" s="10" t="s">
        <v>1038</v>
      </c>
      <c r="Z175" s="11" t="s">
        <v>1039</v>
      </c>
      <c r="AA175" s="11"/>
      <c r="AB175" s="11"/>
      <c r="AC175" s="11"/>
      <c r="AD175" s="11"/>
    </row>
    <row r="176" customFormat="false" ht="15" hidden="false" customHeight="false" outlineLevel="0" collapsed="false">
      <c r="A176" s="6" t="s">
        <v>1040</v>
      </c>
      <c r="B176" s="7" t="s">
        <v>83</v>
      </c>
      <c r="C176" s="7" t="s">
        <v>1041</v>
      </c>
      <c r="D176" s="7" t="s">
        <v>1042</v>
      </c>
      <c r="E176" s="7" t="s">
        <v>250</v>
      </c>
      <c r="F176" s="6" t="n">
        <v>1</v>
      </c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 t="s">
        <v>47</v>
      </c>
      <c r="S176" s="6" t="s">
        <v>47</v>
      </c>
      <c r="T176" s="6"/>
      <c r="U176" s="7" t="s">
        <v>720</v>
      </c>
      <c r="V176" s="6" t="n">
        <v>5</v>
      </c>
      <c r="W176" s="6"/>
      <c r="X176" s="6" t="s">
        <v>49</v>
      </c>
      <c r="Y176" s="7" t="s">
        <v>156</v>
      </c>
      <c r="Z176" s="8" t="s">
        <v>332</v>
      </c>
      <c r="AA176" s="8"/>
      <c r="AB176" s="8"/>
      <c r="AC176" s="8" t="s">
        <v>1043</v>
      </c>
      <c r="AD176" s="8"/>
    </row>
    <row r="177" customFormat="false" ht="26.85" hidden="false" customHeight="false" outlineLevel="0" collapsed="false">
      <c r="A177" s="9" t="s">
        <v>1044</v>
      </c>
      <c r="B177" s="10" t="s">
        <v>1045</v>
      </c>
      <c r="C177" s="10" t="s">
        <v>1046</v>
      </c>
      <c r="D177" s="10" t="s">
        <v>1047</v>
      </c>
      <c r="E177" s="10" t="s">
        <v>714</v>
      </c>
      <c r="F177" s="9" t="n">
        <v>1</v>
      </c>
      <c r="G177" s="9" t="s">
        <v>47</v>
      </c>
      <c r="H177" s="9" t="s">
        <v>47</v>
      </c>
      <c r="I177" s="9" t="s">
        <v>47</v>
      </c>
      <c r="J177" s="9" t="s">
        <v>47</v>
      </c>
      <c r="K177" s="9" t="s">
        <v>47</v>
      </c>
      <c r="L177" s="9" t="s">
        <v>47</v>
      </c>
      <c r="M177" s="9" t="s">
        <v>47</v>
      </c>
      <c r="N177" s="9" t="s">
        <v>47</v>
      </c>
      <c r="O177" s="9" t="s">
        <v>47</v>
      </c>
      <c r="P177" s="9" t="s">
        <v>47</v>
      </c>
      <c r="Q177" s="9" t="s">
        <v>47</v>
      </c>
      <c r="R177" s="9" t="s">
        <v>47</v>
      </c>
      <c r="S177" s="9" t="s">
        <v>47</v>
      </c>
      <c r="T177" s="9" t="s">
        <v>47</v>
      </c>
      <c r="U177" s="10" t="s">
        <v>714</v>
      </c>
      <c r="V177" s="9"/>
      <c r="W177" s="9" t="n">
        <v>3</v>
      </c>
      <c r="X177" s="9" t="s">
        <v>49</v>
      </c>
      <c r="Y177" s="10" t="s">
        <v>1048</v>
      </c>
      <c r="Z177" s="11" t="s">
        <v>976</v>
      </c>
      <c r="AA177" s="11"/>
      <c r="AB177" s="11"/>
      <c r="AC177" s="11" t="s">
        <v>1049</v>
      </c>
      <c r="AD177" s="11"/>
    </row>
    <row r="178" customFormat="false" ht="15" hidden="false" customHeight="false" outlineLevel="0" collapsed="false">
      <c r="A178" s="6" t="s">
        <v>1050</v>
      </c>
      <c r="B178" s="7" t="s">
        <v>83</v>
      </c>
      <c r="C178" s="7" t="s">
        <v>1051</v>
      </c>
      <c r="D178" s="7" t="s">
        <v>1052</v>
      </c>
      <c r="E178" s="7" t="s">
        <v>714</v>
      </c>
      <c r="F178" s="6" t="n">
        <v>1</v>
      </c>
      <c r="G178" s="6"/>
      <c r="H178" s="6"/>
      <c r="I178" s="6"/>
      <c r="J178" s="6"/>
      <c r="K178" s="6"/>
      <c r="L178" s="6"/>
      <c r="M178" s="6" t="s">
        <v>47</v>
      </c>
      <c r="N178" s="6"/>
      <c r="O178" s="6" t="s">
        <v>47</v>
      </c>
      <c r="P178" s="6" t="s">
        <v>47</v>
      </c>
      <c r="Q178" s="6" t="s">
        <v>47</v>
      </c>
      <c r="R178" s="6" t="s">
        <v>47</v>
      </c>
      <c r="S178" s="6"/>
      <c r="T178" s="6"/>
      <c r="U178" s="7" t="s">
        <v>714</v>
      </c>
      <c r="V178" s="6"/>
      <c r="W178" s="6" t="n">
        <v>5</v>
      </c>
      <c r="X178" s="6" t="s">
        <v>49</v>
      </c>
      <c r="Y178" s="7" t="s">
        <v>1053</v>
      </c>
      <c r="Z178" s="8" t="s">
        <v>976</v>
      </c>
      <c r="AA178" s="8"/>
      <c r="AB178" s="8"/>
      <c r="AC178" s="8"/>
      <c r="AD178" s="8"/>
    </row>
    <row r="179" customFormat="false" ht="15" hidden="false" customHeight="false" outlineLevel="0" collapsed="false">
      <c r="A179" s="9" t="s">
        <v>1054</v>
      </c>
      <c r="B179" s="10" t="s">
        <v>1055</v>
      </c>
      <c r="C179" s="10" t="s">
        <v>1056</v>
      </c>
      <c r="D179" s="10" t="s">
        <v>1057</v>
      </c>
      <c r="E179" s="10" t="s">
        <v>714</v>
      </c>
      <c r="F179" s="9" t="n">
        <v>1</v>
      </c>
      <c r="G179" s="9" t="s">
        <v>47</v>
      </c>
      <c r="H179" s="9"/>
      <c r="I179" s="9"/>
      <c r="J179" s="9"/>
      <c r="K179" s="9" t="s">
        <v>47</v>
      </c>
      <c r="L179" s="9"/>
      <c r="M179" s="9"/>
      <c r="N179" s="9"/>
      <c r="O179" s="9"/>
      <c r="P179" s="9"/>
      <c r="Q179" s="9"/>
      <c r="R179" s="9"/>
      <c r="S179" s="9"/>
      <c r="T179" s="9"/>
      <c r="U179" s="10" t="s">
        <v>714</v>
      </c>
      <c r="V179" s="9"/>
      <c r="W179" s="9"/>
      <c r="X179" s="9" t="s">
        <v>49</v>
      </c>
      <c r="Y179" s="10"/>
      <c r="Z179" s="11" t="s">
        <v>976</v>
      </c>
      <c r="AA179" s="11"/>
      <c r="AB179" s="11"/>
      <c r="AC179" s="11" t="s">
        <v>402</v>
      </c>
      <c r="AD179" s="11"/>
    </row>
    <row r="180" customFormat="false" ht="26.85" hidden="false" customHeight="false" outlineLevel="0" collapsed="false">
      <c r="A180" s="6" t="s">
        <v>1058</v>
      </c>
      <c r="B180" s="7" t="s">
        <v>83</v>
      </c>
      <c r="C180" s="7" t="s">
        <v>1059</v>
      </c>
      <c r="D180" s="7" t="s">
        <v>1060</v>
      </c>
      <c r="E180" s="7" t="s">
        <v>257</v>
      </c>
      <c r="F180" s="6" t="n">
        <v>1</v>
      </c>
      <c r="G180" s="6"/>
      <c r="H180" s="6"/>
      <c r="I180" s="6"/>
      <c r="J180" s="6"/>
      <c r="K180" s="6"/>
      <c r="L180" s="6" t="s">
        <v>47</v>
      </c>
      <c r="M180" s="6"/>
      <c r="N180" s="6"/>
      <c r="O180" s="6"/>
      <c r="P180" s="6"/>
      <c r="Q180" s="6"/>
      <c r="R180" s="6"/>
      <c r="S180" s="6"/>
      <c r="T180" s="6"/>
      <c r="U180" s="7" t="s">
        <v>150</v>
      </c>
      <c r="V180" s="6"/>
      <c r="W180" s="6" t="n">
        <v>4</v>
      </c>
      <c r="X180" s="6" t="s">
        <v>49</v>
      </c>
      <c r="Y180" s="7" t="s">
        <v>104</v>
      </c>
      <c r="Z180" s="8" t="s">
        <v>1061</v>
      </c>
      <c r="AA180" s="8"/>
      <c r="AB180" s="8"/>
      <c r="AC180" s="8" t="s">
        <v>1062</v>
      </c>
      <c r="AD180" s="8"/>
    </row>
    <row r="181" customFormat="false" ht="15" hidden="false" customHeight="false" outlineLevel="0" collapsed="false">
      <c r="A181" s="9" t="s">
        <v>1063</v>
      </c>
      <c r="B181" s="10" t="s">
        <v>83</v>
      </c>
      <c r="C181" s="10" t="s">
        <v>1064</v>
      </c>
      <c r="D181" s="10" t="s">
        <v>1065</v>
      </c>
      <c r="E181" s="10" t="s">
        <v>250</v>
      </c>
      <c r="F181" s="9" t="n">
        <v>1</v>
      </c>
      <c r="G181" s="9"/>
      <c r="H181" s="9"/>
      <c r="I181" s="9"/>
      <c r="J181" s="9"/>
      <c r="K181" s="9"/>
      <c r="L181" s="9" t="s">
        <v>47</v>
      </c>
      <c r="M181" s="9"/>
      <c r="N181" s="9"/>
      <c r="O181" s="9"/>
      <c r="P181" s="9"/>
      <c r="Q181" s="9"/>
      <c r="R181" s="9"/>
      <c r="S181" s="9"/>
      <c r="T181" s="9"/>
      <c r="U181" s="10" t="s">
        <v>150</v>
      </c>
      <c r="V181" s="9"/>
      <c r="W181" s="9" t="n">
        <v>3</v>
      </c>
      <c r="X181" s="9" t="s">
        <v>124</v>
      </c>
      <c r="Y181" s="10"/>
      <c r="Z181" s="11" t="s">
        <v>332</v>
      </c>
      <c r="AA181" s="11"/>
      <c r="AB181" s="11"/>
      <c r="AC181" s="11"/>
      <c r="AD181" s="11"/>
    </row>
    <row r="182" customFormat="false" ht="15" hidden="false" customHeight="false" outlineLevel="0" collapsed="false">
      <c r="A182" s="6" t="s">
        <v>1066</v>
      </c>
      <c r="B182" s="7" t="s">
        <v>83</v>
      </c>
      <c r="C182" s="7" t="s">
        <v>1067</v>
      </c>
      <c r="D182" s="7" t="s">
        <v>1068</v>
      </c>
      <c r="E182" s="7" t="s">
        <v>250</v>
      </c>
      <c r="F182" s="6" t="n">
        <v>1</v>
      </c>
      <c r="G182" s="6"/>
      <c r="H182" s="6"/>
      <c r="I182" s="6"/>
      <c r="J182" s="6"/>
      <c r="K182" s="6"/>
      <c r="L182" s="6" t="s">
        <v>47</v>
      </c>
      <c r="M182" s="6"/>
      <c r="N182" s="6"/>
      <c r="O182" s="6"/>
      <c r="P182" s="6"/>
      <c r="Q182" s="6"/>
      <c r="R182" s="6"/>
      <c r="S182" s="6"/>
      <c r="T182" s="6"/>
      <c r="U182" s="7" t="s">
        <v>150</v>
      </c>
      <c r="V182" s="6"/>
      <c r="W182" s="6" t="n">
        <v>4</v>
      </c>
      <c r="X182" s="6" t="s">
        <v>49</v>
      </c>
      <c r="Y182" s="7" t="s">
        <v>1048</v>
      </c>
      <c r="Z182" s="8" t="s">
        <v>332</v>
      </c>
      <c r="AA182" s="8"/>
      <c r="AB182" s="8"/>
      <c r="AC182" s="8" t="s">
        <v>1069</v>
      </c>
      <c r="AD182" s="8"/>
    </row>
    <row r="183" customFormat="false" ht="26.85" hidden="false" customHeight="false" outlineLevel="0" collapsed="false">
      <c r="A183" s="9" t="s">
        <v>1070</v>
      </c>
      <c r="B183" s="10" t="s">
        <v>83</v>
      </c>
      <c r="C183" s="10" t="s">
        <v>1071</v>
      </c>
      <c r="D183" s="10" t="s">
        <v>1072</v>
      </c>
      <c r="E183" s="10" t="s">
        <v>257</v>
      </c>
      <c r="F183" s="9" t="n">
        <v>1</v>
      </c>
      <c r="G183" s="9"/>
      <c r="H183" s="9"/>
      <c r="I183" s="9"/>
      <c r="J183" s="9"/>
      <c r="K183" s="9"/>
      <c r="L183" s="9" t="s">
        <v>47</v>
      </c>
      <c r="M183" s="9"/>
      <c r="N183" s="9"/>
      <c r="O183" s="9"/>
      <c r="P183" s="9"/>
      <c r="Q183" s="9"/>
      <c r="R183" s="9"/>
      <c r="S183" s="9"/>
      <c r="T183" s="9"/>
      <c r="U183" s="10" t="s">
        <v>150</v>
      </c>
      <c r="V183" s="9"/>
      <c r="W183" s="9" t="n">
        <v>3</v>
      </c>
      <c r="X183" s="9" t="s">
        <v>124</v>
      </c>
      <c r="Y183" s="10" t="s">
        <v>241</v>
      </c>
      <c r="Z183" s="11" t="s">
        <v>1073</v>
      </c>
      <c r="AA183" s="11"/>
      <c r="AB183" s="11" t="s">
        <v>286</v>
      </c>
      <c r="AC183" s="11"/>
      <c r="AD183" s="11"/>
    </row>
    <row r="184" customFormat="false" ht="39.55" hidden="false" customHeight="false" outlineLevel="0" collapsed="false">
      <c r="A184" s="6" t="s">
        <v>1074</v>
      </c>
      <c r="B184" s="7" t="s">
        <v>83</v>
      </c>
      <c r="C184" s="7" t="s">
        <v>1075</v>
      </c>
      <c r="D184" s="7" t="s">
        <v>1076</v>
      </c>
      <c r="E184" s="7" t="s">
        <v>257</v>
      </c>
      <c r="F184" s="6" t="n">
        <v>2</v>
      </c>
      <c r="G184" s="6"/>
      <c r="H184" s="6"/>
      <c r="I184" s="6"/>
      <c r="J184" s="6"/>
      <c r="K184" s="6"/>
      <c r="L184" s="6" t="s">
        <v>47</v>
      </c>
      <c r="M184" s="6"/>
      <c r="N184" s="6"/>
      <c r="O184" s="6"/>
      <c r="P184" s="6"/>
      <c r="Q184" s="6"/>
      <c r="R184" s="6"/>
      <c r="S184" s="6"/>
      <c r="T184" s="6"/>
      <c r="U184" s="7" t="s">
        <v>150</v>
      </c>
      <c r="V184" s="6"/>
      <c r="W184" s="6" t="n">
        <v>2</v>
      </c>
      <c r="X184" s="6" t="s">
        <v>124</v>
      </c>
      <c r="Y184" s="7"/>
      <c r="Z184" s="8" t="s">
        <v>1077</v>
      </c>
      <c r="AA184" s="8" t="s">
        <v>1071</v>
      </c>
      <c r="AB184" s="8" t="s">
        <v>286</v>
      </c>
      <c r="AC184" s="8"/>
      <c r="AD184" s="8"/>
    </row>
    <row r="185" customFormat="false" ht="26.85" hidden="false" customHeight="false" outlineLevel="0" collapsed="false">
      <c r="A185" s="9" t="s">
        <v>1078</v>
      </c>
      <c r="B185" s="10" t="s">
        <v>83</v>
      </c>
      <c r="C185" s="10" t="s">
        <v>1079</v>
      </c>
      <c r="D185" s="10" t="s">
        <v>1080</v>
      </c>
      <c r="E185" s="10" t="s">
        <v>257</v>
      </c>
      <c r="F185" s="9" t="n">
        <v>2</v>
      </c>
      <c r="G185" s="9"/>
      <c r="H185" s="9"/>
      <c r="I185" s="9"/>
      <c r="J185" s="9"/>
      <c r="K185" s="9"/>
      <c r="L185" s="9" t="s">
        <v>47</v>
      </c>
      <c r="M185" s="9"/>
      <c r="N185" s="9"/>
      <c r="O185" s="9"/>
      <c r="P185" s="9"/>
      <c r="Q185" s="9"/>
      <c r="R185" s="9"/>
      <c r="S185" s="9"/>
      <c r="T185" s="9"/>
      <c r="U185" s="10" t="s">
        <v>150</v>
      </c>
      <c r="V185" s="9"/>
      <c r="W185" s="9" t="n">
        <v>3</v>
      </c>
      <c r="X185" s="9" t="s">
        <v>49</v>
      </c>
      <c r="Y185" s="10" t="s">
        <v>1081</v>
      </c>
      <c r="Z185" s="11" t="s">
        <v>858</v>
      </c>
      <c r="AA185" s="11" t="s">
        <v>1059</v>
      </c>
      <c r="AB185" s="11" t="s">
        <v>286</v>
      </c>
      <c r="AC185" s="11" t="s">
        <v>1082</v>
      </c>
      <c r="AD185" s="11"/>
    </row>
    <row r="186" customFormat="false" ht="39.55" hidden="false" customHeight="false" outlineLevel="0" collapsed="false">
      <c r="A186" s="6" t="s">
        <v>1083</v>
      </c>
      <c r="B186" s="7" t="s">
        <v>83</v>
      </c>
      <c r="C186" s="7" t="s">
        <v>1084</v>
      </c>
      <c r="D186" s="7" t="s">
        <v>1085</v>
      </c>
      <c r="E186" s="7" t="s">
        <v>561</v>
      </c>
      <c r="F186" s="6" t="n">
        <v>2</v>
      </c>
      <c r="G186" s="6"/>
      <c r="H186" s="6"/>
      <c r="I186" s="6"/>
      <c r="J186" s="6"/>
      <c r="K186" s="6"/>
      <c r="L186" s="6" t="s">
        <v>47</v>
      </c>
      <c r="M186" s="6"/>
      <c r="N186" s="6"/>
      <c r="O186" s="6"/>
      <c r="P186" s="6"/>
      <c r="Q186" s="6"/>
      <c r="R186" s="6"/>
      <c r="S186" s="6"/>
      <c r="T186" s="6"/>
      <c r="U186" s="7" t="s">
        <v>150</v>
      </c>
      <c r="V186" s="6"/>
      <c r="W186" s="6" t="n">
        <v>3</v>
      </c>
      <c r="X186" s="6" t="s">
        <v>49</v>
      </c>
      <c r="Y186" s="7" t="s">
        <v>957</v>
      </c>
      <c r="Z186" s="8" t="s">
        <v>1086</v>
      </c>
      <c r="AA186" s="8" t="s">
        <v>1087</v>
      </c>
      <c r="AB186" s="8" t="s">
        <v>354</v>
      </c>
      <c r="AC186" s="8" t="s">
        <v>1088</v>
      </c>
      <c r="AD186" s="8"/>
    </row>
    <row r="187" customFormat="false" ht="15" hidden="false" customHeight="false" outlineLevel="0" collapsed="false">
      <c r="A187" s="9" t="s">
        <v>1089</v>
      </c>
      <c r="B187" s="10" t="s">
        <v>83</v>
      </c>
      <c r="C187" s="10" t="s">
        <v>1090</v>
      </c>
      <c r="D187" s="10" t="s">
        <v>876</v>
      </c>
      <c r="E187" s="10" t="s">
        <v>561</v>
      </c>
      <c r="F187" s="9" t="n">
        <v>1</v>
      </c>
      <c r="G187" s="9"/>
      <c r="H187" s="9"/>
      <c r="I187" s="9"/>
      <c r="J187" s="9"/>
      <c r="K187" s="9"/>
      <c r="L187" s="9" t="s">
        <v>47</v>
      </c>
      <c r="M187" s="9"/>
      <c r="N187" s="9"/>
      <c r="O187" s="9"/>
      <c r="P187" s="9"/>
      <c r="Q187" s="9"/>
      <c r="R187" s="9"/>
      <c r="S187" s="9"/>
      <c r="T187" s="9"/>
      <c r="U187" s="10" t="s">
        <v>150</v>
      </c>
      <c r="V187" s="9"/>
      <c r="W187" s="9" t="n">
        <v>4</v>
      </c>
      <c r="X187" s="9" t="s">
        <v>49</v>
      </c>
      <c r="Y187" s="10"/>
      <c r="Z187" s="11" t="s">
        <v>877</v>
      </c>
      <c r="AA187" s="11"/>
      <c r="AB187" s="11" t="s">
        <v>286</v>
      </c>
      <c r="AC187" s="11" t="s">
        <v>402</v>
      </c>
      <c r="AD187" s="11"/>
    </row>
    <row r="188" customFormat="false" ht="15" hidden="false" customHeight="false" outlineLevel="0" collapsed="false">
      <c r="A188" s="6" t="s">
        <v>1091</v>
      </c>
      <c r="B188" s="7" t="s">
        <v>83</v>
      </c>
      <c r="C188" s="7" t="s">
        <v>1092</v>
      </c>
      <c r="D188" s="7" t="s">
        <v>1093</v>
      </c>
      <c r="E188" s="7" t="s">
        <v>561</v>
      </c>
      <c r="F188" s="6" t="n">
        <v>2</v>
      </c>
      <c r="G188" s="6"/>
      <c r="H188" s="6"/>
      <c r="I188" s="6"/>
      <c r="J188" s="6"/>
      <c r="K188" s="6"/>
      <c r="L188" s="6" t="s">
        <v>47</v>
      </c>
      <c r="M188" s="6"/>
      <c r="N188" s="6"/>
      <c r="O188" s="6"/>
      <c r="P188" s="6"/>
      <c r="Q188" s="6"/>
      <c r="R188" s="6"/>
      <c r="S188" s="6"/>
      <c r="T188" s="6"/>
      <c r="U188" s="7" t="s">
        <v>150</v>
      </c>
      <c r="V188" s="6"/>
      <c r="W188" s="6" t="n">
        <v>3</v>
      </c>
      <c r="X188" s="6" t="s">
        <v>49</v>
      </c>
      <c r="Y188" s="7"/>
      <c r="Z188" s="8" t="s">
        <v>877</v>
      </c>
      <c r="AA188" s="8" t="s">
        <v>1090</v>
      </c>
      <c r="AB188" s="8" t="s">
        <v>286</v>
      </c>
      <c r="AC188" s="8" t="s">
        <v>1094</v>
      </c>
      <c r="AD188" s="8"/>
    </row>
    <row r="189" customFormat="false" ht="26.85" hidden="false" customHeight="false" outlineLevel="0" collapsed="false">
      <c r="A189" s="9" t="s">
        <v>1095</v>
      </c>
      <c r="B189" s="10" t="s">
        <v>83</v>
      </c>
      <c r="C189" s="10" t="s">
        <v>1096</v>
      </c>
      <c r="D189" s="10" t="s">
        <v>1097</v>
      </c>
      <c r="E189" s="10" t="s">
        <v>257</v>
      </c>
      <c r="F189" s="9" t="n">
        <v>2</v>
      </c>
      <c r="G189" s="9"/>
      <c r="H189" s="9"/>
      <c r="I189" s="9"/>
      <c r="J189" s="9"/>
      <c r="K189" s="9"/>
      <c r="L189" s="9" t="s">
        <v>47</v>
      </c>
      <c r="M189" s="9"/>
      <c r="N189" s="9"/>
      <c r="O189" s="9"/>
      <c r="P189" s="9"/>
      <c r="Q189" s="9"/>
      <c r="R189" s="9"/>
      <c r="S189" s="9"/>
      <c r="T189" s="9"/>
      <c r="U189" s="10" t="s">
        <v>150</v>
      </c>
      <c r="V189" s="9"/>
      <c r="W189" s="9" t="n">
        <v>3</v>
      </c>
      <c r="X189" s="9" t="s">
        <v>124</v>
      </c>
      <c r="Y189" s="10"/>
      <c r="Z189" s="11" t="s">
        <v>834</v>
      </c>
      <c r="AA189" s="11" t="s">
        <v>1098</v>
      </c>
      <c r="AB189" s="11" t="s">
        <v>354</v>
      </c>
      <c r="AC189" s="11" t="s">
        <v>145</v>
      </c>
      <c r="AD189" s="11"/>
    </row>
    <row r="190" customFormat="false" ht="26.85" hidden="false" customHeight="false" outlineLevel="0" collapsed="false">
      <c r="A190" s="6" t="s">
        <v>1099</v>
      </c>
      <c r="B190" s="7" t="s">
        <v>83</v>
      </c>
      <c r="C190" s="7" t="s">
        <v>1100</v>
      </c>
      <c r="D190" s="7" t="s">
        <v>1101</v>
      </c>
      <c r="E190" s="7" t="s">
        <v>257</v>
      </c>
      <c r="F190" s="6" t="n">
        <v>2</v>
      </c>
      <c r="G190" s="6"/>
      <c r="H190" s="6"/>
      <c r="I190" s="6"/>
      <c r="J190" s="6"/>
      <c r="K190" s="6"/>
      <c r="L190" s="6" t="s">
        <v>47</v>
      </c>
      <c r="M190" s="6"/>
      <c r="N190" s="6"/>
      <c r="O190" s="6"/>
      <c r="P190" s="6"/>
      <c r="Q190" s="6"/>
      <c r="R190" s="6"/>
      <c r="S190" s="6"/>
      <c r="T190" s="6"/>
      <c r="U190" s="7" t="s">
        <v>150</v>
      </c>
      <c r="V190" s="6"/>
      <c r="W190" s="6" t="n">
        <v>3</v>
      </c>
      <c r="X190" s="6" t="s">
        <v>124</v>
      </c>
      <c r="Y190" s="7"/>
      <c r="Z190" s="8" t="s">
        <v>834</v>
      </c>
      <c r="AA190" s="8" t="s">
        <v>1096</v>
      </c>
      <c r="AB190" s="8" t="s">
        <v>354</v>
      </c>
      <c r="AC190" s="8" t="s">
        <v>145</v>
      </c>
      <c r="AD190" s="8"/>
    </row>
    <row r="191" customFormat="false" ht="39.55" hidden="false" customHeight="false" outlineLevel="0" collapsed="false">
      <c r="A191" s="9" t="s">
        <v>1102</v>
      </c>
      <c r="B191" s="10" t="s">
        <v>83</v>
      </c>
      <c r="C191" s="10" t="s">
        <v>1098</v>
      </c>
      <c r="D191" s="10" t="s">
        <v>1103</v>
      </c>
      <c r="E191" s="10" t="s">
        <v>257</v>
      </c>
      <c r="F191" s="9" t="n">
        <v>1</v>
      </c>
      <c r="G191" s="9"/>
      <c r="H191" s="9"/>
      <c r="I191" s="9"/>
      <c r="J191" s="9"/>
      <c r="K191" s="9"/>
      <c r="L191" s="9" t="s">
        <v>47</v>
      </c>
      <c r="M191" s="9"/>
      <c r="N191" s="9"/>
      <c r="O191" s="9"/>
      <c r="P191" s="9"/>
      <c r="Q191" s="9"/>
      <c r="R191" s="9"/>
      <c r="S191" s="9"/>
      <c r="T191" s="9"/>
      <c r="U191" s="10" t="s">
        <v>150</v>
      </c>
      <c r="V191" s="9"/>
      <c r="W191" s="9" t="n">
        <v>2</v>
      </c>
      <c r="X191" s="9" t="s">
        <v>124</v>
      </c>
      <c r="Y191" s="10" t="s">
        <v>819</v>
      </c>
      <c r="Z191" s="11" t="s">
        <v>820</v>
      </c>
      <c r="AA191" s="11"/>
      <c r="AB191" s="11"/>
      <c r="AC191" s="11"/>
      <c r="AD191" s="11"/>
    </row>
    <row r="192" customFormat="false" ht="26.85" hidden="false" customHeight="false" outlineLevel="0" collapsed="false">
      <c r="A192" s="6" t="s">
        <v>1104</v>
      </c>
      <c r="B192" s="7" t="s">
        <v>83</v>
      </c>
      <c r="C192" s="7" t="s">
        <v>1105</v>
      </c>
      <c r="D192" s="7" t="s">
        <v>1106</v>
      </c>
      <c r="E192" s="7" t="s">
        <v>257</v>
      </c>
      <c r="F192" s="6" t="n">
        <v>1</v>
      </c>
      <c r="G192" s="6"/>
      <c r="H192" s="6"/>
      <c r="I192" s="6"/>
      <c r="J192" s="6"/>
      <c r="K192" s="6"/>
      <c r="L192" s="6" t="s">
        <v>47</v>
      </c>
      <c r="M192" s="6"/>
      <c r="N192" s="6"/>
      <c r="O192" s="6"/>
      <c r="P192" s="6"/>
      <c r="Q192" s="6"/>
      <c r="R192" s="6"/>
      <c r="S192" s="6"/>
      <c r="T192" s="6"/>
      <c r="U192" s="7" t="s">
        <v>150</v>
      </c>
      <c r="V192" s="6"/>
      <c r="W192" s="6" t="n">
        <v>3</v>
      </c>
      <c r="X192" s="6" t="s">
        <v>124</v>
      </c>
      <c r="Y192" s="7"/>
      <c r="Z192" s="8" t="s">
        <v>834</v>
      </c>
      <c r="AA192" s="8" t="s">
        <v>1098</v>
      </c>
      <c r="AB192" s="8"/>
      <c r="AC192" s="8" t="s">
        <v>145</v>
      </c>
      <c r="AD192" s="8"/>
    </row>
    <row r="193" customFormat="false" ht="26.85" hidden="false" customHeight="false" outlineLevel="0" collapsed="false">
      <c r="A193" s="9" t="s">
        <v>1107</v>
      </c>
      <c r="B193" s="10" t="s">
        <v>83</v>
      </c>
      <c r="C193" s="10" t="s">
        <v>1108</v>
      </c>
      <c r="D193" s="10" t="s">
        <v>1109</v>
      </c>
      <c r="E193" s="10" t="s">
        <v>646</v>
      </c>
      <c r="F193" s="9" t="n">
        <v>2</v>
      </c>
      <c r="G193" s="9"/>
      <c r="H193" s="9"/>
      <c r="I193" s="9"/>
      <c r="J193" s="9"/>
      <c r="K193" s="9"/>
      <c r="L193" s="9" t="s">
        <v>47</v>
      </c>
      <c r="M193" s="9"/>
      <c r="N193" s="9"/>
      <c r="O193" s="9"/>
      <c r="P193" s="9"/>
      <c r="Q193" s="9"/>
      <c r="R193" s="9"/>
      <c r="S193" s="9"/>
      <c r="T193" s="9"/>
      <c r="U193" s="10" t="s">
        <v>150</v>
      </c>
      <c r="V193" s="9"/>
      <c r="W193" s="9" t="n">
        <v>2</v>
      </c>
      <c r="X193" s="9" t="s">
        <v>49</v>
      </c>
      <c r="Y193" s="10"/>
      <c r="Z193" s="11" t="s">
        <v>1110</v>
      </c>
      <c r="AA193" s="11" t="s">
        <v>1067</v>
      </c>
      <c r="AB193" s="11" t="s">
        <v>1111</v>
      </c>
      <c r="AC193" s="11" t="s">
        <v>693</v>
      </c>
      <c r="AD193" s="11"/>
    </row>
    <row r="194" customFormat="false" ht="15" hidden="false" customHeight="false" outlineLevel="0" collapsed="false">
      <c r="A194" s="6" t="s">
        <v>1112</v>
      </c>
      <c r="B194" s="7" t="s">
        <v>83</v>
      </c>
      <c r="C194" s="7" t="s">
        <v>1113</v>
      </c>
      <c r="D194" s="7" t="s">
        <v>1114</v>
      </c>
      <c r="E194" s="7" t="s">
        <v>250</v>
      </c>
      <c r="F194" s="6" t="n">
        <v>1</v>
      </c>
      <c r="G194" s="6"/>
      <c r="H194" s="6"/>
      <c r="I194" s="6"/>
      <c r="J194" s="6"/>
      <c r="K194" s="6"/>
      <c r="L194" s="6" t="s">
        <v>47</v>
      </c>
      <c r="M194" s="6"/>
      <c r="N194" s="6"/>
      <c r="O194" s="6"/>
      <c r="P194" s="6"/>
      <c r="Q194" s="6"/>
      <c r="R194" s="6"/>
      <c r="S194" s="6"/>
      <c r="T194" s="6"/>
      <c r="U194" s="7" t="s">
        <v>150</v>
      </c>
      <c r="V194" s="6"/>
      <c r="W194" s="6" t="n">
        <v>2</v>
      </c>
      <c r="X194" s="6" t="s">
        <v>49</v>
      </c>
      <c r="Y194" s="7"/>
      <c r="Z194" s="8" t="s">
        <v>332</v>
      </c>
      <c r="AA194" s="8"/>
      <c r="AB194" s="8"/>
      <c r="AC194" s="8" t="s">
        <v>1115</v>
      </c>
      <c r="AD194" s="8"/>
    </row>
    <row r="195" customFormat="false" ht="15" hidden="false" customHeight="false" outlineLevel="0" collapsed="false">
      <c r="A195" s="9" t="s">
        <v>1116</v>
      </c>
      <c r="B195" s="10" t="s">
        <v>83</v>
      </c>
      <c r="C195" s="10" t="s">
        <v>1117</v>
      </c>
      <c r="D195" s="10" t="s">
        <v>1118</v>
      </c>
      <c r="E195" s="10" t="s">
        <v>161</v>
      </c>
      <c r="F195" s="9" t="n">
        <v>1</v>
      </c>
      <c r="G195" s="9"/>
      <c r="H195" s="9"/>
      <c r="I195" s="9"/>
      <c r="J195" s="9"/>
      <c r="K195" s="9"/>
      <c r="L195" s="9" t="s">
        <v>47</v>
      </c>
      <c r="M195" s="9"/>
      <c r="N195" s="9"/>
      <c r="O195" s="9"/>
      <c r="P195" s="9"/>
      <c r="Q195" s="9"/>
      <c r="R195" s="9"/>
      <c r="S195" s="9"/>
      <c r="T195" s="9"/>
      <c r="U195" s="10" t="s">
        <v>162</v>
      </c>
      <c r="V195" s="9"/>
      <c r="W195" s="9" t="n">
        <v>1</v>
      </c>
      <c r="X195" s="9" t="s">
        <v>49</v>
      </c>
      <c r="Y195" s="10"/>
      <c r="Z195" s="11" t="s">
        <v>1119</v>
      </c>
      <c r="AA195" s="11"/>
      <c r="AB195" s="11"/>
      <c r="AC195" s="11" t="s">
        <v>145</v>
      </c>
      <c r="AD195" s="11"/>
    </row>
    <row r="196" customFormat="false" ht="15" hidden="false" customHeight="false" outlineLevel="0" collapsed="false">
      <c r="A196" s="6" t="s">
        <v>1120</v>
      </c>
      <c r="B196" s="7" t="s">
        <v>83</v>
      </c>
      <c r="C196" s="7" t="s">
        <v>1121</v>
      </c>
      <c r="D196" s="7" t="s">
        <v>1122</v>
      </c>
      <c r="E196" s="7" t="s">
        <v>161</v>
      </c>
      <c r="F196" s="6" t="n">
        <v>1</v>
      </c>
      <c r="G196" s="6"/>
      <c r="H196" s="6"/>
      <c r="I196" s="6"/>
      <c r="J196" s="6"/>
      <c r="K196" s="6"/>
      <c r="L196" s="6" t="s">
        <v>47</v>
      </c>
      <c r="M196" s="6"/>
      <c r="N196" s="6"/>
      <c r="O196" s="6"/>
      <c r="P196" s="6"/>
      <c r="Q196" s="6"/>
      <c r="R196" s="6"/>
      <c r="S196" s="6"/>
      <c r="T196" s="6"/>
      <c r="U196" s="7" t="s">
        <v>720</v>
      </c>
      <c r="V196" s="6"/>
      <c r="W196" s="6" t="n">
        <v>1</v>
      </c>
      <c r="X196" s="6" t="s">
        <v>49</v>
      </c>
      <c r="Y196" s="7"/>
      <c r="Z196" s="8" t="s">
        <v>1123</v>
      </c>
      <c r="AA196" s="8"/>
      <c r="AB196" s="8"/>
      <c r="AC196" s="8" t="s">
        <v>145</v>
      </c>
      <c r="AD196" s="8"/>
    </row>
    <row r="197" customFormat="false" ht="15" hidden="false" customHeight="false" outlineLevel="0" collapsed="false">
      <c r="A197" s="9" t="s">
        <v>1124</v>
      </c>
      <c r="B197" s="10" t="s">
        <v>83</v>
      </c>
      <c r="C197" s="10" t="s">
        <v>1125</v>
      </c>
      <c r="D197" s="10" t="s">
        <v>1126</v>
      </c>
      <c r="E197" s="10" t="s">
        <v>216</v>
      </c>
      <c r="F197" s="9" t="n">
        <v>1</v>
      </c>
      <c r="G197" s="9"/>
      <c r="H197" s="9"/>
      <c r="I197" s="9"/>
      <c r="J197" s="9"/>
      <c r="K197" s="9"/>
      <c r="L197" s="9" t="s">
        <v>47</v>
      </c>
      <c r="M197" s="9"/>
      <c r="N197" s="9"/>
      <c r="O197" s="9"/>
      <c r="P197" s="9"/>
      <c r="Q197" s="9"/>
      <c r="R197" s="9"/>
      <c r="S197" s="9"/>
      <c r="T197" s="9"/>
      <c r="U197" s="10" t="s">
        <v>150</v>
      </c>
      <c r="V197" s="9"/>
      <c r="W197" s="9" t="n">
        <v>4</v>
      </c>
      <c r="X197" s="9" t="s">
        <v>124</v>
      </c>
      <c r="Y197" s="10"/>
      <c r="Z197" s="11" t="s">
        <v>217</v>
      </c>
      <c r="AA197" s="11"/>
      <c r="AB197" s="11"/>
      <c r="AC197" s="11"/>
      <c r="AD197" s="11"/>
    </row>
    <row r="198" customFormat="false" ht="15" hidden="false" customHeight="false" outlineLevel="0" collapsed="false">
      <c r="A198" s="6" t="s">
        <v>1127</v>
      </c>
      <c r="B198" s="7" t="s">
        <v>83</v>
      </c>
      <c r="C198" s="7" t="s">
        <v>1128</v>
      </c>
      <c r="D198" s="7" t="s">
        <v>1129</v>
      </c>
      <c r="E198" s="7" t="s">
        <v>227</v>
      </c>
      <c r="F198" s="6" t="n">
        <v>1</v>
      </c>
      <c r="G198" s="6"/>
      <c r="H198" s="6"/>
      <c r="I198" s="6"/>
      <c r="J198" s="6"/>
      <c r="K198" s="6"/>
      <c r="L198" s="6" t="s">
        <v>47</v>
      </c>
      <c r="M198" s="6"/>
      <c r="N198" s="6"/>
      <c r="O198" s="6"/>
      <c r="P198" s="6"/>
      <c r="Q198" s="6"/>
      <c r="R198" s="6"/>
      <c r="S198" s="6"/>
      <c r="T198" s="6"/>
      <c r="U198" s="7" t="s">
        <v>720</v>
      </c>
      <c r="V198" s="6"/>
      <c r="W198" s="6" t="n">
        <v>3</v>
      </c>
      <c r="X198" s="6" t="s">
        <v>124</v>
      </c>
      <c r="Y198" s="7"/>
      <c r="Z198" s="8" t="s">
        <v>1130</v>
      </c>
      <c r="AA198" s="8"/>
      <c r="AB198" s="8"/>
      <c r="AC198" s="8"/>
      <c r="AD198" s="8"/>
    </row>
    <row r="199" customFormat="false" ht="15" hidden="false" customHeight="false" outlineLevel="0" collapsed="false">
      <c r="A199" s="9" t="s">
        <v>1131</v>
      </c>
      <c r="B199" s="10" t="s">
        <v>83</v>
      </c>
      <c r="C199" s="10" t="s">
        <v>1132</v>
      </c>
      <c r="D199" s="10" t="s">
        <v>1133</v>
      </c>
      <c r="E199" s="10" t="s">
        <v>227</v>
      </c>
      <c r="F199" s="9" t="n">
        <v>1</v>
      </c>
      <c r="G199" s="9"/>
      <c r="H199" s="9"/>
      <c r="I199" s="9"/>
      <c r="J199" s="9"/>
      <c r="K199" s="9"/>
      <c r="L199" s="9" t="s">
        <v>47</v>
      </c>
      <c r="M199" s="9"/>
      <c r="N199" s="9"/>
      <c r="O199" s="9"/>
      <c r="P199" s="9"/>
      <c r="Q199" s="9"/>
      <c r="R199" s="9"/>
      <c r="S199" s="9"/>
      <c r="T199" s="9"/>
      <c r="U199" s="10" t="s">
        <v>720</v>
      </c>
      <c r="V199" s="9"/>
      <c r="W199" s="9" t="n">
        <v>3</v>
      </c>
      <c r="X199" s="9" t="s">
        <v>124</v>
      </c>
      <c r="Y199" s="10"/>
      <c r="Z199" s="11" t="s">
        <v>203</v>
      </c>
      <c r="AA199" s="11"/>
      <c r="AB199" s="11"/>
      <c r="AC199" s="11"/>
      <c r="AD199" s="11"/>
    </row>
    <row r="200" customFormat="false" ht="26.85" hidden="false" customHeight="false" outlineLevel="0" collapsed="false">
      <c r="A200" s="6" t="s">
        <v>1134</v>
      </c>
      <c r="B200" s="7" t="s">
        <v>83</v>
      </c>
      <c r="C200" s="7" t="s">
        <v>1135</v>
      </c>
      <c r="D200" s="7" t="s">
        <v>1136</v>
      </c>
      <c r="E200" s="7" t="s">
        <v>257</v>
      </c>
      <c r="F200" s="6" t="n">
        <v>1</v>
      </c>
      <c r="G200" s="6"/>
      <c r="H200" s="6"/>
      <c r="I200" s="6"/>
      <c r="J200" s="6"/>
      <c r="K200" s="6"/>
      <c r="L200" s="6" t="s">
        <v>47</v>
      </c>
      <c r="M200" s="6"/>
      <c r="N200" s="6"/>
      <c r="O200" s="6"/>
      <c r="P200" s="6"/>
      <c r="Q200" s="6"/>
      <c r="R200" s="6"/>
      <c r="S200" s="6"/>
      <c r="T200" s="6"/>
      <c r="U200" s="7" t="s">
        <v>150</v>
      </c>
      <c r="V200" s="6"/>
      <c r="W200" s="6" t="n">
        <v>3</v>
      </c>
      <c r="X200" s="6" t="s">
        <v>124</v>
      </c>
      <c r="Y200" s="7"/>
      <c r="Z200" s="8" t="s">
        <v>1137</v>
      </c>
      <c r="AA200" s="8"/>
      <c r="AB200" s="8"/>
      <c r="AC200" s="8"/>
      <c r="AD200" s="8"/>
    </row>
    <row r="201" customFormat="false" ht="15" hidden="false" customHeight="false" outlineLevel="0" collapsed="false">
      <c r="A201" s="9" t="s">
        <v>1138</v>
      </c>
      <c r="B201" s="10" t="s">
        <v>83</v>
      </c>
      <c r="C201" s="10" t="s">
        <v>1139</v>
      </c>
      <c r="D201" s="10" t="s">
        <v>1140</v>
      </c>
      <c r="E201" s="10" t="s">
        <v>250</v>
      </c>
      <c r="F201" s="9" t="n">
        <v>1</v>
      </c>
      <c r="G201" s="9"/>
      <c r="H201" s="9"/>
      <c r="I201" s="9"/>
      <c r="J201" s="9"/>
      <c r="K201" s="9"/>
      <c r="L201" s="9" t="s">
        <v>47</v>
      </c>
      <c r="M201" s="9"/>
      <c r="N201" s="9"/>
      <c r="O201" s="9"/>
      <c r="P201" s="9"/>
      <c r="Q201" s="9"/>
      <c r="R201" s="9"/>
      <c r="S201" s="9"/>
      <c r="T201" s="9"/>
      <c r="U201" s="10" t="s">
        <v>150</v>
      </c>
      <c r="V201" s="9"/>
      <c r="W201" s="9" t="n">
        <v>4</v>
      </c>
      <c r="X201" s="9" t="s">
        <v>49</v>
      </c>
      <c r="Y201" s="10" t="s">
        <v>104</v>
      </c>
      <c r="Z201" s="11" t="s">
        <v>756</v>
      </c>
      <c r="AA201" s="11"/>
      <c r="AB201" s="11"/>
      <c r="AC201" s="11"/>
      <c r="AD201" s="11"/>
    </row>
    <row r="202" customFormat="false" ht="26.85" hidden="false" customHeight="false" outlineLevel="0" collapsed="false">
      <c r="A202" s="6" t="s">
        <v>1141</v>
      </c>
      <c r="B202" s="7" t="s">
        <v>83</v>
      </c>
      <c r="C202" s="7" t="s">
        <v>1142</v>
      </c>
      <c r="D202" s="7" t="s">
        <v>1143</v>
      </c>
      <c r="E202" s="7" t="s">
        <v>227</v>
      </c>
      <c r="F202" s="6" t="n">
        <v>2</v>
      </c>
      <c r="G202" s="6"/>
      <c r="H202" s="6"/>
      <c r="I202" s="6"/>
      <c r="J202" s="6"/>
      <c r="K202" s="6"/>
      <c r="L202" s="6" t="s">
        <v>47</v>
      </c>
      <c r="M202" s="6"/>
      <c r="N202" s="6"/>
      <c r="O202" s="6"/>
      <c r="P202" s="6"/>
      <c r="Q202" s="6"/>
      <c r="R202" s="6"/>
      <c r="S202" s="6"/>
      <c r="T202" s="6"/>
      <c r="U202" s="7" t="s">
        <v>150</v>
      </c>
      <c r="V202" s="6"/>
      <c r="W202" s="6" t="n">
        <v>3</v>
      </c>
      <c r="X202" s="6" t="s">
        <v>124</v>
      </c>
      <c r="Y202" s="7" t="s">
        <v>234</v>
      </c>
      <c r="Z202" s="8" t="s">
        <v>1144</v>
      </c>
      <c r="AA202" s="8" t="s">
        <v>1145</v>
      </c>
      <c r="AB202" s="8" t="s">
        <v>354</v>
      </c>
      <c r="AC202" s="8"/>
      <c r="AD202" s="8"/>
    </row>
    <row r="203" customFormat="false" ht="26.85" hidden="false" customHeight="false" outlineLevel="0" collapsed="false">
      <c r="A203" s="9" t="s">
        <v>1146</v>
      </c>
      <c r="B203" s="10" t="s">
        <v>83</v>
      </c>
      <c r="C203" s="10" t="s">
        <v>1147</v>
      </c>
      <c r="D203" s="10" t="s">
        <v>1148</v>
      </c>
      <c r="E203" s="10" t="s">
        <v>257</v>
      </c>
      <c r="F203" s="9" t="n">
        <v>1</v>
      </c>
      <c r="G203" s="9"/>
      <c r="H203" s="9"/>
      <c r="I203" s="9"/>
      <c r="J203" s="9"/>
      <c r="K203" s="9"/>
      <c r="L203" s="9" t="s">
        <v>47</v>
      </c>
      <c r="M203" s="9"/>
      <c r="N203" s="9"/>
      <c r="O203" s="9"/>
      <c r="P203" s="9"/>
      <c r="Q203" s="9"/>
      <c r="R203" s="9"/>
      <c r="S203" s="9"/>
      <c r="T203" s="9"/>
      <c r="U203" s="10" t="s">
        <v>150</v>
      </c>
      <c r="V203" s="9"/>
      <c r="W203" s="9" t="n">
        <v>1</v>
      </c>
      <c r="X203" s="9" t="s">
        <v>49</v>
      </c>
      <c r="Y203" s="10" t="s">
        <v>143</v>
      </c>
      <c r="Z203" s="11" t="s">
        <v>125</v>
      </c>
      <c r="AA203" s="11"/>
      <c r="AB203" s="11"/>
      <c r="AC203" s="11" t="s">
        <v>145</v>
      </c>
      <c r="AD203" s="11"/>
    </row>
    <row r="204" customFormat="false" ht="26.85" hidden="false" customHeight="false" outlineLevel="0" collapsed="false">
      <c r="A204" s="6" t="s">
        <v>1149</v>
      </c>
      <c r="B204" s="7" t="s">
        <v>83</v>
      </c>
      <c r="C204" s="7" t="s">
        <v>1150</v>
      </c>
      <c r="D204" s="7" t="s">
        <v>851</v>
      </c>
      <c r="E204" s="7" t="s">
        <v>233</v>
      </c>
      <c r="F204" s="6" t="n">
        <v>1</v>
      </c>
      <c r="G204" s="6"/>
      <c r="H204" s="6"/>
      <c r="I204" s="6"/>
      <c r="J204" s="6"/>
      <c r="K204" s="6"/>
      <c r="L204" s="6" t="s">
        <v>47</v>
      </c>
      <c r="M204" s="6"/>
      <c r="N204" s="6"/>
      <c r="O204" s="6"/>
      <c r="P204" s="6"/>
      <c r="Q204" s="6"/>
      <c r="R204" s="6"/>
      <c r="S204" s="6"/>
      <c r="T204" s="6"/>
      <c r="U204" s="7" t="s">
        <v>720</v>
      </c>
      <c r="V204" s="6"/>
      <c r="W204" s="6" t="n">
        <v>2</v>
      </c>
      <c r="X204" s="6" t="s">
        <v>49</v>
      </c>
      <c r="Y204" s="7"/>
      <c r="Z204" s="8" t="s">
        <v>807</v>
      </c>
      <c r="AA204" s="8"/>
      <c r="AB204" s="8"/>
      <c r="AC204" s="8"/>
      <c r="AD204" s="8"/>
    </row>
  </sheetData>
  <autoFilter ref="A1:AD204"/>
  <dataValidations count="5">
    <dataValidation allowBlank="true" errorStyle="stop" operator="between" showDropDown="false" showErrorMessage="false" showInputMessage="false" sqref="E2:E1000" type="list">
      <formula1>Listes!$A$2:$A$17</formula1>
      <formula2>0</formula2>
    </dataValidation>
    <dataValidation allowBlank="true" errorStyle="stop" operator="between" showDropDown="false" showErrorMessage="false" showInputMessage="false" sqref="F2:F1000" type="list">
      <formula1>Listes!$C$2:$C$4</formula1>
      <formula2>0</formula2>
    </dataValidation>
    <dataValidation allowBlank="true" errorStyle="stop" operator="between" showDropDown="false" showErrorMessage="false" showInputMessage="false" sqref="U2:U1000" type="list">
      <formula1>Listes!$B$2:$B$9</formula1>
      <formula2>0</formula2>
    </dataValidation>
    <dataValidation allowBlank="true" errorStyle="stop" operator="between" showDropDown="false" showErrorMessage="false" showInputMessage="false" sqref="X2:X1000" type="list">
      <formula1>Listes!$D$2:$D$3</formula1>
      <formula2>0</formula2>
    </dataValidation>
    <dataValidation allowBlank="true" errorStyle="stop" operator="between" showDropDown="false" showErrorMessage="false" showInputMessage="false" sqref="G2:T1000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"/>
    <col collapsed="false" customWidth="true" hidden="false" outlineLevel="0" max="5" min="5" style="0" width="22"/>
    <col collapsed="false" customWidth="true" hidden="false" outlineLevel="0" max="7" min="6" style="0" width="18"/>
  </cols>
  <sheetData>
    <row r="1" customFormat="false" ht="17.35" hidden="false" customHeight="false" outlineLevel="0" collapsed="false">
      <c r="A1" s="12" t="s">
        <v>1151</v>
      </c>
    </row>
    <row r="3" customFormat="false" ht="15" hidden="false" customHeight="false" outlineLevel="0" collapsed="false">
      <c r="A3" s="13" t="s">
        <v>1152</v>
      </c>
      <c r="B3" s="14" t="n">
        <v>60</v>
      </c>
      <c r="C3" s="15" t="s">
        <v>1153</v>
      </c>
    </row>
    <row r="5" customFormat="false" ht="26.85" hidden="false" customHeight="false" outlineLevel="0" collapsed="false">
      <c r="A5" s="4" t="s">
        <v>18</v>
      </c>
      <c r="B5" s="4" t="s">
        <v>1154</v>
      </c>
      <c r="C5" s="4" t="s">
        <v>1155</v>
      </c>
      <c r="E5" s="4" t="s">
        <v>1156</v>
      </c>
      <c r="F5" s="4" t="s">
        <v>1157</v>
      </c>
      <c r="G5" s="4" t="s">
        <v>1158</v>
      </c>
    </row>
    <row r="6" customFormat="false" ht="15" hidden="false" customHeight="false" outlineLevel="0" collapsed="false">
      <c r="A6" s="16" t="s">
        <v>48</v>
      </c>
      <c r="B6" s="17" t="n">
        <v>0.1</v>
      </c>
      <c r="C6" s="16" t="n">
        <f aca="false">ROUND(B6*$B$3,0)</f>
        <v>6</v>
      </c>
      <c r="E6" s="18" t="s">
        <v>1159</v>
      </c>
      <c r="F6" s="19" t="s">
        <v>1160</v>
      </c>
      <c r="G6" s="19" t="n">
        <v>1</v>
      </c>
    </row>
    <row r="7" customFormat="false" ht="15" hidden="false" customHeight="false" outlineLevel="0" collapsed="false">
      <c r="A7" s="16" t="s">
        <v>162</v>
      </c>
      <c r="B7" s="17" t="n">
        <v>0.1</v>
      </c>
      <c r="C7" s="16" t="n">
        <f aca="false">ROUND(B7*$B$3,0)</f>
        <v>6</v>
      </c>
      <c r="E7" s="18" t="s">
        <v>1161</v>
      </c>
      <c r="F7" s="19" t="s">
        <v>1162</v>
      </c>
      <c r="G7" s="19" t="n">
        <v>2</v>
      </c>
    </row>
    <row r="8" customFormat="false" ht="15" hidden="false" customHeight="false" outlineLevel="0" collapsed="false">
      <c r="A8" s="16" t="s">
        <v>284</v>
      </c>
      <c r="B8" s="17" t="n">
        <v>0.1</v>
      </c>
      <c r="C8" s="16" t="n">
        <f aca="false">ROUND(B8*$B$3,0)</f>
        <v>6</v>
      </c>
      <c r="E8" s="18" t="s">
        <v>1163</v>
      </c>
      <c r="F8" s="19" t="s">
        <v>1164</v>
      </c>
      <c r="G8" s="19" t="n">
        <v>3</v>
      </c>
    </row>
    <row r="9" customFormat="false" ht="15" hidden="false" customHeight="false" outlineLevel="0" collapsed="false">
      <c r="A9" s="16" t="s">
        <v>240</v>
      </c>
      <c r="B9" s="17" t="n">
        <v>0.25</v>
      </c>
      <c r="C9" s="16" t="n">
        <f aca="false">ROUND(B9*$B$3,0)</f>
        <v>15</v>
      </c>
    </row>
    <row r="10" customFormat="false" ht="15" hidden="false" customHeight="false" outlineLevel="0" collapsed="false">
      <c r="A10" s="16" t="s">
        <v>150</v>
      </c>
      <c r="B10" s="17" t="n">
        <v>0.15</v>
      </c>
      <c r="C10" s="16" t="n">
        <f aca="false">ROUND(B10*$B$3,0)</f>
        <v>9</v>
      </c>
      <c r="E10" s="15" t="s">
        <v>1165</v>
      </c>
    </row>
    <row r="11" customFormat="false" ht="15" hidden="false" customHeight="false" outlineLevel="0" collapsed="false">
      <c r="A11" s="16" t="s">
        <v>581</v>
      </c>
      <c r="B11" s="17" t="n">
        <v>0.1</v>
      </c>
      <c r="C11" s="16" t="n">
        <f aca="false">ROUND(B11*$B$3,0)</f>
        <v>6</v>
      </c>
    </row>
    <row r="12" customFormat="false" ht="15" hidden="false" customHeight="false" outlineLevel="0" collapsed="false">
      <c r="A12" s="16" t="s">
        <v>720</v>
      </c>
      <c r="B12" s="17" t="n">
        <v>0.1</v>
      </c>
      <c r="C12" s="16" t="n">
        <f aca="false">ROUND(B12*$B$3,0)</f>
        <v>6</v>
      </c>
    </row>
    <row r="13" customFormat="false" ht="15" hidden="false" customHeight="false" outlineLevel="0" collapsed="false">
      <c r="A13" s="16" t="s">
        <v>714</v>
      </c>
      <c r="B13" s="17" t="n">
        <v>0.1</v>
      </c>
      <c r="C13" s="16" t="n">
        <f aca="false">ROUND(B13*$B$3,0)</f>
        <v>6</v>
      </c>
    </row>
    <row r="14" customFormat="false" ht="15" hidden="false" customHeight="false" outlineLevel="0" collapsed="false">
      <c r="A14" s="13" t="s">
        <v>1166</v>
      </c>
      <c r="B14" s="20" t="n">
        <f aca="false">SUM(B6:B13)</f>
        <v>1</v>
      </c>
      <c r="C14" s="13" t="str">
        <f aca="false">IF(ROUND(B14,4)=1,"OK","⚠ total ≠ 100 %")</f>
        <v>OK</v>
      </c>
    </row>
    <row r="16" customFormat="false" ht="26.85" hidden="false" customHeight="false" outlineLevel="0" collapsed="false">
      <c r="A16" s="4" t="s">
        <v>19</v>
      </c>
      <c r="B16" s="4" t="s">
        <v>1154</v>
      </c>
      <c r="C16" s="4" t="s">
        <v>1155</v>
      </c>
    </row>
    <row r="17" customFormat="false" ht="15" hidden="false" customHeight="false" outlineLevel="0" collapsed="false">
      <c r="A17" s="16" t="s">
        <v>48</v>
      </c>
      <c r="B17" s="17" t="n">
        <v>0.05</v>
      </c>
      <c r="C17" s="16" t="n">
        <f aca="false">ROUND(B17*$B$3,0)</f>
        <v>3</v>
      </c>
    </row>
    <row r="18" customFormat="false" ht="15" hidden="false" customHeight="false" outlineLevel="0" collapsed="false">
      <c r="A18" s="16" t="s">
        <v>162</v>
      </c>
      <c r="B18" s="17" t="n">
        <v>0.1</v>
      </c>
      <c r="C18" s="16" t="n">
        <f aca="false">ROUND(B18*$B$3,0)</f>
        <v>6</v>
      </c>
    </row>
    <row r="19" customFormat="false" ht="15" hidden="false" customHeight="false" outlineLevel="0" collapsed="false">
      <c r="A19" s="16" t="s">
        <v>284</v>
      </c>
      <c r="B19" s="17" t="n">
        <v>0.2</v>
      </c>
      <c r="C19" s="16" t="n">
        <f aca="false">ROUND(B19*$B$3,0)</f>
        <v>12</v>
      </c>
    </row>
    <row r="20" customFormat="false" ht="15" hidden="false" customHeight="false" outlineLevel="0" collapsed="false">
      <c r="A20" s="16" t="s">
        <v>240</v>
      </c>
      <c r="B20" s="17" t="n">
        <v>0.25</v>
      </c>
      <c r="C20" s="16" t="n">
        <f aca="false">ROUND(B20*$B$3,0)</f>
        <v>15</v>
      </c>
    </row>
    <row r="21" customFormat="false" ht="15" hidden="false" customHeight="false" outlineLevel="0" collapsed="false">
      <c r="A21" s="16" t="s">
        <v>150</v>
      </c>
      <c r="B21" s="17" t="n">
        <v>0.1</v>
      </c>
      <c r="C21" s="16" t="n">
        <f aca="false">ROUND(B21*$B$3,0)</f>
        <v>6</v>
      </c>
    </row>
    <row r="22" customFormat="false" ht="15" hidden="false" customHeight="false" outlineLevel="0" collapsed="false">
      <c r="A22" s="16" t="s">
        <v>581</v>
      </c>
      <c r="B22" s="17" t="n">
        <v>0.1</v>
      </c>
      <c r="C22" s="16" t="n">
        <f aca="false">ROUND(B22*$B$3,0)</f>
        <v>6</v>
      </c>
    </row>
    <row r="23" customFormat="false" ht="15" hidden="false" customHeight="false" outlineLevel="0" collapsed="false">
      <c r="A23" s="16" t="s">
        <v>720</v>
      </c>
      <c r="B23" s="17" t="n">
        <v>0.1</v>
      </c>
      <c r="C23" s="16" t="n">
        <f aca="false">ROUND(B23*$B$3,0)</f>
        <v>6</v>
      </c>
    </row>
    <row r="24" customFormat="false" ht="15" hidden="false" customHeight="false" outlineLevel="0" collapsed="false">
      <c r="A24" s="16" t="s">
        <v>714</v>
      </c>
      <c r="B24" s="17" t="n">
        <v>0.1</v>
      </c>
      <c r="C24" s="16" t="n">
        <f aca="false">ROUND(B24*$B$3,0)</f>
        <v>6</v>
      </c>
    </row>
    <row r="25" customFormat="false" ht="15" hidden="false" customHeight="false" outlineLevel="0" collapsed="false">
      <c r="A25" s="13" t="s">
        <v>1166</v>
      </c>
      <c r="B25" s="20" t="n">
        <f aca="false">SUM(B17:B24)</f>
        <v>1</v>
      </c>
      <c r="C25" s="13" t="str">
        <f aca="false">IF(ROUND(B25,4)=1,"OK","⚠ total ≠ 100 %")</f>
        <v>OK</v>
      </c>
    </row>
    <row r="27" customFormat="false" ht="26.85" hidden="false" customHeight="false" outlineLevel="0" collapsed="false">
      <c r="A27" s="4" t="s">
        <v>20</v>
      </c>
      <c r="B27" s="4" t="s">
        <v>1154</v>
      </c>
      <c r="C27" s="4" t="s">
        <v>1155</v>
      </c>
    </row>
    <row r="28" customFormat="false" ht="15" hidden="false" customHeight="false" outlineLevel="0" collapsed="false">
      <c r="A28" s="16" t="s">
        <v>48</v>
      </c>
      <c r="B28" s="17" t="n">
        <v>0.03</v>
      </c>
      <c r="C28" s="16" t="n">
        <f aca="false">ROUND(B28*$B$3,0)</f>
        <v>2</v>
      </c>
    </row>
    <row r="29" customFormat="false" ht="15" hidden="false" customHeight="false" outlineLevel="0" collapsed="false">
      <c r="A29" s="16" t="s">
        <v>284</v>
      </c>
      <c r="B29" s="17" t="n">
        <v>0.15</v>
      </c>
      <c r="C29" s="16" t="n">
        <f aca="false">ROUND(B29*$B$3,0)</f>
        <v>9</v>
      </c>
    </row>
    <row r="30" customFormat="false" ht="15" hidden="false" customHeight="false" outlineLevel="0" collapsed="false">
      <c r="A30" s="16" t="s">
        <v>240</v>
      </c>
      <c r="B30" s="17" t="n">
        <v>0.25</v>
      </c>
      <c r="C30" s="16" t="n">
        <f aca="false">ROUND(B30*$B$3,0)</f>
        <v>15</v>
      </c>
    </row>
    <row r="31" customFormat="false" ht="15" hidden="false" customHeight="false" outlineLevel="0" collapsed="false">
      <c r="A31" s="16" t="s">
        <v>150</v>
      </c>
      <c r="B31" s="17" t="n">
        <v>0.35</v>
      </c>
      <c r="C31" s="16" t="n">
        <f aca="false">ROUND(B31*$B$3,0)</f>
        <v>21</v>
      </c>
    </row>
    <row r="32" customFormat="false" ht="15" hidden="false" customHeight="false" outlineLevel="0" collapsed="false">
      <c r="A32" s="16" t="s">
        <v>581</v>
      </c>
      <c r="B32" s="17" t="n">
        <v>0.12</v>
      </c>
      <c r="C32" s="16" t="n">
        <f aca="false">ROUND(B32*$B$3,0)</f>
        <v>7</v>
      </c>
    </row>
    <row r="33" customFormat="false" ht="15" hidden="false" customHeight="false" outlineLevel="0" collapsed="false">
      <c r="A33" s="16" t="s">
        <v>714</v>
      </c>
      <c r="B33" s="17" t="n">
        <v>0.1</v>
      </c>
      <c r="C33" s="16" t="n">
        <f aca="false">ROUND(B33*$B$3,0)</f>
        <v>6</v>
      </c>
    </row>
    <row r="34" customFormat="false" ht="15" hidden="false" customHeight="false" outlineLevel="0" collapsed="false">
      <c r="A34" s="13" t="s">
        <v>1166</v>
      </c>
      <c r="B34" s="20" t="n">
        <f aca="false">SUM(B28:B33)</f>
        <v>1</v>
      </c>
      <c r="C34" s="13" t="str">
        <f aca="false">IF(ROUND(B34,4)=1,"OK","⚠ total ≠ 100 %")</f>
        <v>OK</v>
      </c>
    </row>
    <row r="36" customFormat="false" ht="26.85" hidden="false" customHeight="false" outlineLevel="0" collapsed="false">
      <c r="A36" s="4" t="s">
        <v>21</v>
      </c>
      <c r="B36" s="4" t="s">
        <v>1154</v>
      </c>
      <c r="C36" s="4" t="s">
        <v>1155</v>
      </c>
    </row>
    <row r="37" customFormat="false" ht="15" hidden="false" customHeight="false" outlineLevel="0" collapsed="false">
      <c r="A37" s="16" t="s">
        <v>48</v>
      </c>
      <c r="B37" s="17" t="n">
        <v>0.05</v>
      </c>
      <c r="C37" s="16" t="n">
        <f aca="false">ROUND(B37*$B$3,0)</f>
        <v>3</v>
      </c>
    </row>
    <row r="38" customFormat="false" ht="15" hidden="false" customHeight="false" outlineLevel="0" collapsed="false">
      <c r="A38" s="16" t="s">
        <v>162</v>
      </c>
      <c r="B38" s="17" t="n">
        <v>0.1</v>
      </c>
      <c r="C38" s="16" t="n">
        <f aca="false">ROUND(B38*$B$3,0)</f>
        <v>6</v>
      </c>
    </row>
    <row r="39" customFormat="false" ht="15" hidden="false" customHeight="false" outlineLevel="0" collapsed="false">
      <c r="A39" s="16" t="s">
        <v>240</v>
      </c>
      <c r="B39" s="17" t="n">
        <v>0.35</v>
      </c>
      <c r="C39" s="16" t="n">
        <f aca="false">ROUND(B39*$B$3,0)</f>
        <v>21</v>
      </c>
    </row>
    <row r="40" customFormat="false" ht="15" hidden="false" customHeight="false" outlineLevel="0" collapsed="false">
      <c r="A40" s="16" t="s">
        <v>150</v>
      </c>
      <c r="B40" s="17" t="n">
        <v>0.15</v>
      </c>
      <c r="C40" s="16" t="n">
        <f aca="false">ROUND(B40*$B$3,0)</f>
        <v>9</v>
      </c>
    </row>
    <row r="41" customFormat="false" ht="15" hidden="false" customHeight="false" outlineLevel="0" collapsed="false">
      <c r="A41" s="16" t="s">
        <v>581</v>
      </c>
      <c r="B41" s="17" t="n">
        <v>0.15</v>
      </c>
      <c r="C41" s="16" t="n">
        <f aca="false">ROUND(B41*$B$3,0)</f>
        <v>9</v>
      </c>
    </row>
    <row r="42" customFormat="false" ht="15" hidden="false" customHeight="false" outlineLevel="0" collapsed="false">
      <c r="A42" s="16" t="s">
        <v>720</v>
      </c>
      <c r="B42" s="17" t="n">
        <v>0.1</v>
      </c>
      <c r="C42" s="16" t="n">
        <f aca="false">ROUND(B42*$B$3,0)</f>
        <v>6</v>
      </c>
    </row>
    <row r="43" customFormat="false" ht="15" hidden="false" customHeight="false" outlineLevel="0" collapsed="false">
      <c r="A43" s="16" t="s">
        <v>714</v>
      </c>
      <c r="B43" s="17" t="n">
        <v>0.1</v>
      </c>
      <c r="C43" s="16" t="n">
        <f aca="false">ROUND(B43*$B$3,0)</f>
        <v>6</v>
      </c>
    </row>
    <row r="44" customFormat="false" ht="15" hidden="false" customHeight="false" outlineLevel="0" collapsed="false">
      <c r="A44" s="13" t="s">
        <v>1166</v>
      </c>
      <c r="B44" s="20" t="n">
        <f aca="false">SUM(B37:B43)</f>
        <v>1</v>
      </c>
      <c r="C44" s="13" t="str">
        <f aca="false">IF(ROUND(B44,4)=1,"OK","⚠ total ≠ 100 %")</f>
        <v>OK</v>
      </c>
    </row>
    <row r="46" customFormat="false" ht="26.85" hidden="false" customHeight="false" outlineLevel="0" collapsed="false">
      <c r="A46" s="4" t="s">
        <v>22</v>
      </c>
      <c r="B46" s="4" t="s">
        <v>1154</v>
      </c>
      <c r="C46" s="4" t="s">
        <v>1155</v>
      </c>
    </row>
    <row r="47" customFormat="false" ht="15" hidden="false" customHeight="false" outlineLevel="0" collapsed="false">
      <c r="A47" s="16" t="s">
        <v>48</v>
      </c>
      <c r="B47" s="17" t="n">
        <v>0.1</v>
      </c>
      <c r="C47" s="16" t="n">
        <f aca="false">ROUND(B47*$B$3,0)</f>
        <v>6</v>
      </c>
    </row>
    <row r="48" customFormat="false" ht="15" hidden="false" customHeight="false" outlineLevel="0" collapsed="false">
      <c r="A48" s="16" t="s">
        <v>284</v>
      </c>
      <c r="B48" s="17" t="n">
        <v>0.1</v>
      </c>
      <c r="C48" s="16" t="n">
        <f aca="false">ROUND(B48*$B$3,0)</f>
        <v>6</v>
      </c>
    </row>
    <row r="49" customFormat="false" ht="15" hidden="false" customHeight="false" outlineLevel="0" collapsed="false">
      <c r="A49" s="16" t="s">
        <v>581</v>
      </c>
      <c r="B49" s="17" t="n">
        <v>0.15</v>
      </c>
      <c r="C49" s="16" t="n">
        <f aca="false">ROUND(B49*$B$3,0)</f>
        <v>9</v>
      </c>
    </row>
    <row r="50" customFormat="false" ht="15" hidden="false" customHeight="false" outlineLevel="0" collapsed="false">
      <c r="A50" s="16" t="s">
        <v>150</v>
      </c>
      <c r="B50" s="17" t="n">
        <v>0.35</v>
      </c>
      <c r="C50" s="16" t="n">
        <f aca="false">ROUND(B50*$B$3,0)</f>
        <v>21</v>
      </c>
    </row>
    <row r="51" customFormat="false" ht="15" hidden="false" customHeight="false" outlineLevel="0" collapsed="false">
      <c r="A51" s="16" t="s">
        <v>240</v>
      </c>
      <c r="B51" s="17" t="n">
        <v>0.1</v>
      </c>
      <c r="C51" s="16" t="n">
        <f aca="false">ROUND(B51*$B$3,0)</f>
        <v>6</v>
      </c>
    </row>
    <row r="52" customFormat="false" ht="15" hidden="false" customHeight="false" outlineLevel="0" collapsed="false">
      <c r="A52" s="16" t="s">
        <v>714</v>
      </c>
      <c r="B52" s="17" t="n">
        <v>0.2</v>
      </c>
      <c r="C52" s="16" t="n">
        <f aca="false">ROUND(B52*$B$3,0)</f>
        <v>12</v>
      </c>
    </row>
    <row r="53" customFormat="false" ht="15" hidden="false" customHeight="false" outlineLevel="0" collapsed="false">
      <c r="A53" s="13" t="s">
        <v>1166</v>
      </c>
      <c r="B53" s="20" t="n">
        <f aca="false">SUM(B47:B52)</f>
        <v>1</v>
      </c>
      <c r="C53" s="13" t="str">
        <f aca="false">IF(ROUND(B53,4)=1,"OK","⚠ total ≠ 100 %")</f>
        <v>OK</v>
      </c>
    </row>
    <row r="55" customFormat="false" ht="26.85" hidden="false" customHeight="false" outlineLevel="0" collapsed="false">
      <c r="A55" s="4" t="s">
        <v>23</v>
      </c>
      <c r="B55" s="4" t="s">
        <v>1154</v>
      </c>
      <c r="C55" s="4" t="s">
        <v>1155</v>
      </c>
    </row>
    <row r="56" customFormat="false" ht="15" hidden="false" customHeight="false" outlineLevel="0" collapsed="false">
      <c r="A56" s="16" t="s">
        <v>48</v>
      </c>
      <c r="B56" s="17" t="n">
        <v>0.1</v>
      </c>
      <c r="C56" s="16" t="n">
        <f aca="false">ROUND(B56*$B$3,0)</f>
        <v>6</v>
      </c>
    </row>
    <row r="57" customFormat="false" ht="15" hidden="false" customHeight="false" outlineLevel="0" collapsed="false">
      <c r="A57" s="16" t="s">
        <v>162</v>
      </c>
      <c r="B57" s="17" t="n">
        <v>0.05</v>
      </c>
      <c r="C57" s="16" t="n">
        <f aca="false">ROUND(B57*$B$3,0)</f>
        <v>3</v>
      </c>
    </row>
    <row r="58" customFormat="false" ht="15" hidden="false" customHeight="false" outlineLevel="0" collapsed="false">
      <c r="A58" s="16" t="s">
        <v>150</v>
      </c>
      <c r="B58" s="17" t="n">
        <v>0.65</v>
      </c>
      <c r="C58" s="16" t="n">
        <f aca="false">ROUND(B58*$B$3,0)</f>
        <v>39</v>
      </c>
    </row>
    <row r="59" customFormat="false" ht="15" hidden="false" customHeight="false" outlineLevel="0" collapsed="false">
      <c r="A59" s="16" t="s">
        <v>720</v>
      </c>
      <c r="B59" s="17" t="n">
        <v>0.1</v>
      </c>
      <c r="C59" s="16" t="n">
        <f aca="false">ROUND(B59*$B$3,0)</f>
        <v>6</v>
      </c>
    </row>
    <row r="60" customFormat="false" ht="15" hidden="false" customHeight="false" outlineLevel="0" collapsed="false">
      <c r="A60" s="16" t="s">
        <v>714</v>
      </c>
      <c r="B60" s="17" t="n">
        <v>0.1</v>
      </c>
      <c r="C60" s="16" t="n">
        <f aca="false">ROUND(B60*$B$3,0)</f>
        <v>6</v>
      </c>
    </row>
    <row r="61" customFormat="false" ht="15" hidden="false" customHeight="false" outlineLevel="0" collapsed="false">
      <c r="A61" s="13" t="s">
        <v>1166</v>
      </c>
      <c r="B61" s="20" t="n">
        <f aca="false">SUM(B56:B60)</f>
        <v>1</v>
      </c>
      <c r="C61" s="13" t="str">
        <f aca="false">IF(ROUND(B61,4)=1,"OK","⚠ total ≠ 100 %")</f>
        <v>OK</v>
      </c>
    </row>
    <row r="63" customFormat="false" ht="26.85" hidden="false" customHeight="false" outlineLevel="0" collapsed="false">
      <c r="A63" s="4" t="s">
        <v>24</v>
      </c>
      <c r="B63" s="4" t="s">
        <v>1154</v>
      </c>
      <c r="C63" s="4" t="s">
        <v>1155</v>
      </c>
    </row>
    <row r="64" customFormat="false" ht="15" hidden="false" customHeight="false" outlineLevel="0" collapsed="false">
      <c r="A64" s="16" t="s">
        <v>48</v>
      </c>
      <c r="B64" s="17" t="n">
        <v>0.1</v>
      </c>
      <c r="C64" s="16" t="n">
        <f aca="false">ROUND(B64*$B$3,0)</f>
        <v>6</v>
      </c>
    </row>
    <row r="65" customFormat="false" ht="15" hidden="false" customHeight="false" outlineLevel="0" collapsed="false">
      <c r="A65" s="16" t="s">
        <v>150</v>
      </c>
      <c r="B65" s="17" t="n">
        <v>0.6</v>
      </c>
      <c r="C65" s="16" t="n">
        <f aca="false">ROUND(B65*$B$3,0)</f>
        <v>36</v>
      </c>
    </row>
    <row r="66" customFormat="false" ht="15" hidden="false" customHeight="false" outlineLevel="0" collapsed="false">
      <c r="A66" s="16" t="s">
        <v>720</v>
      </c>
      <c r="B66" s="17" t="n">
        <v>0.15</v>
      </c>
      <c r="C66" s="16" t="n">
        <f aca="false">ROUND(B66*$B$3,0)</f>
        <v>9</v>
      </c>
    </row>
    <row r="67" customFormat="false" ht="15" hidden="false" customHeight="false" outlineLevel="0" collapsed="false">
      <c r="A67" s="16" t="s">
        <v>714</v>
      </c>
      <c r="B67" s="17" t="n">
        <v>0.15</v>
      </c>
      <c r="C67" s="16" t="n">
        <f aca="false">ROUND(B67*$B$3,0)</f>
        <v>9</v>
      </c>
    </row>
    <row r="68" customFormat="false" ht="15" hidden="false" customHeight="false" outlineLevel="0" collapsed="false">
      <c r="A68" s="13" t="s">
        <v>1166</v>
      </c>
      <c r="B68" s="20" t="n">
        <f aca="false">SUM(B64:B67)</f>
        <v>1</v>
      </c>
      <c r="C68" s="13" t="str">
        <f aca="false">IF(ROUND(B68,4)=1,"OK","⚠ total ≠ 100 %")</f>
        <v>OK</v>
      </c>
    </row>
    <row r="70" customFormat="false" ht="26.85" hidden="false" customHeight="false" outlineLevel="0" collapsed="false">
      <c r="A70" s="4" t="s">
        <v>25</v>
      </c>
      <c r="B70" s="4" t="s">
        <v>1154</v>
      </c>
      <c r="C70" s="4" t="s">
        <v>1155</v>
      </c>
    </row>
    <row r="71" customFormat="false" ht="15" hidden="false" customHeight="false" outlineLevel="0" collapsed="false">
      <c r="A71" s="16" t="s">
        <v>48</v>
      </c>
      <c r="B71" s="17" t="n">
        <v>0.1</v>
      </c>
      <c r="C71" s="16" t="n">
        <f aca="false">ROUND(B71*$B$3,0)</f>
        <v>6</v>
      </c>
    </row>
    <row r="72" customFormat="false" ht="15" hidden="false" customHeight="false" outlineLevel="0" collapsed="false">
      <c r="A72" s="16" t="s">
        <v>162</v>
      </c>
      <c r="B72" s="17" t="n">
        <v>0.15</v>
      </c>
      <c r="C72" s="16" t="n">
        <f aca="false">ROUND(B72*$B$3,0)</f>
        <v>9</v>
      </c>
    </row>
    <row r="73" customFormat="false" ht="15" hidden="false" customHeight="false" outlineLevel="0" collapsed="false">
      <c r="A73" s="16" t="s">
        <v>150</v>
      </c>
      <c r="B73" s="17" t="n">
        <v>0.45</v>
      </c>
      <c r="C73" s="16" t="n">
        <f aca="false">ROUND(B73*$B$3,0)</f>
        <v>27</v>
      </c>
    </row>
    <row r="74" customFormat="false" ht="15" hidden="false" customHeight="false" outlineLevel="0" collapsed="false">
      <c r="A74" s="16" t="s">
        <v>720</v>
      </c>
      <c r="B74" s="17" t="n">
        <v>0.1</v>
      </c>
      <c r="C74" s="16" t="n">
        <f aca="false">ROUND(B74*$B$3,0)</f>
        <v>6</v>
      </c>
    </row>
    <row r="75" customFormat="false" ht="15" hidden="false" customHeight="false" outlineLevel="0" collapsed="false">
      <c r="A75" s="16" t="s">
        <v>714</v>
      </c>
      <c r="B75" s="17" t="n">
        <v>0.2</v>
      </c>
      <c r="C75" s="16" t="n">
        <f aca="false">ROUND(B75*$B$3,0)</f>
        <v>12</v>
      </c>
    </row>
    <row r="76" customFormat="false" ht="15" hidden="false" customHeight="false" outlineLevel="0" collapsed="false">
      <c r="A76" s="13" t="s">
        <v>1166</v>
      </c>
      <c r="B76" s="20" t="n">
        <f aca="false">SUM(B71:B75)</f>
        <v>1</v>
      </c>
      <c r="C76" s="13" t="str">
        <f aca="false">IF(ROUND(B76,4)=1,"OK","⚠ total ≠ 100 %")</f>
        <v>OK</v>
      </c>
    </row>
    <row r="78" customFormat="false" ht="26.85" hidden="false" customHeight="false" outlineLevel="0" collapsed="false">
      <c r="A78" s="4" t="s">
        <v>26</v>
      </c>
      <c r="B78" s="4" t="s">
        <v>1154</v>
      </c>
      <c r="C78" s="4" t="s">
        <v>1155</v>
      </c>
    </row>
    <row r="79" customFormat="false" ht="15" hidden="false" customHeight="false" outlineLevel="0" collapsed="false">
      <c r="A79" s="16" t="s">
        <v>48</v>
      </c>
      <c r="B79" s="17" t="n">
        <v>0.15</v>
      </c>
      <c r="C79" s="16" t="n">
        <f aca="false">ROUND(B79*$B$3,0)</f>
        <v>9</v>
      </c>
    </row>
    <row r="80" customFormat="false" ht="15" hidden="false" customHeight="false" outlineLevel="0" collapsed="false">
      <c r="A80" s="16" t="s">
        <v>162</v>
      </c>
      <c r="B80" s="17" t="n">
        <v>0.25</v>
      </c>
      <c r="C80" s="16" t="n">
        <f aca="false">ROUND(B80*$B$3,0)</f>
        <v>15</v>
      </c>
    </row>
    <row r="81" customFormat="false" ht="15" hidden="false" customHeight="false" outlineLevel="0" collapsed="false">
      <c r="A81" s="16" t="s">
        <v>150</v>
      </c>
      <c r="B81" s="17" t="n">
        <v>0.35</v>
      </c>
      <c r="C81" s="16" t="n">
        <f aca="false">ROUND(B81*$B$3,0)</f>
        <v>21</v>
      </c>
    </row>
    <row r="82" customFormat="false" ht="15" hidden="false" customHeight="false" outlineLevel="0" collapsed="false">
      <c r="A82" s="16" t="s">
        <v>720</v>
      </c>
      <c r="B82" s="17" t="n">
        <v>0.1</v>
      </c>
      <c r="C82" s="16" t="n">
        <f aca="false">ROUND(B82*$B$3,0)</f>
        <v>6</v>
      </c>
    </row>
    <row r="83" customFormat="false" ht="15" hidden="false" customHeight="false" outlineLevel="0" collapsed="false">
      <c r="A83" s="16" t="s">
        <v>714</v>
      </c>
      <c r="B83" s="17" t="n">
        <v>0.15</v>
      </c>
      <c r="C83" s="16" t="n">
        <f aca="false">ROUND(B83*$B$3,0)</f>
        <v>9</v>
      </c>
    </row>
    <row r="84" customFormat="false" ht="15" hidden="false" customHeight="false" outlineLevel="0" collapsed="false">
      <c r="A84" s="13" t="s">
        <v>1166</v>
      </c>
      <c r="B84" s="20" t="n">
        <f aca="false">SUM(B79:B83)</f>
        <v>1</v>
      </c>
      <c r="C84" s="13" t="str">
        <f aca="false">IF(ROUND(B84,4)=1,"OK","⚠ total ≠ 100 %")</f>
        <v>OK</v>
      </c>
    </row>
    <row r="86" customFormat="false" ht="26.85" hidden="false" customHeight="false" outlineLevel="0" collapsed="false">
      <c r="A86" s="4" t="s">
        <v>27</v>
      </c>
      <c r="B86" s="4" t="s">
        <v>1154</v>
      </c>
      <c r="C86" s="4" t="s">
        <v>1155</v>
      </c>
    </row>
    <row r="87" customFormat="false" ht="15" hidden="false" customHeight="false" outlineLevel="0" collapsed="false">
      <c r="A87" s="16" t="s">
        <v>48</v>
      </c>
      <c r="B87" s="17" t="n">
        <v>0.15</v>
      </c>
      <c r="C87" s="16" t="n">
        <f aca="false">ROUND(B87*$B$3,0)</f>
        <v>9</v>
      </c>
    </row>
    <row r="88" customFormat="false" ht="15" hidden="false" customHeight="false" outlineLevel="0" collapsed="false">
      <c r="A88" s="16" t="s">
        <v>162</v>
      </c>
      <c r="B88" s="17" t="n">
        <v>0.2</v>
      </c>
      <c r="C88" s="16" t="n">
        <f aca="false">ROUND(B88*$B$3,0)</f>
        <v>12</v>
      </c>
    </row>
    <row r="89" customFormat="false" ht="15" hidden="false" customHeight="false" outlineLevel="0" collapsed="false">
      <c r="A89" s="16" t="s">
        <v>240</v>
      </c>
      <c r="B89" s="17" t="n">
        <v>0.2</v>
      </c>
      <c r="C89" s="16" t="n">
        <f aca="false">ROUND(B89*$B$3,0)</f>
        <v>12</v>
      </c>
    </row>
    <row r="90" customFormat="false" ht="15" hidden="false" customHeight="false" outlineLevel="0" collapsed="false">
      <c r="A90" s="16" t="s">
        <v>150</v>
      </c>
      <c r="B90" s="17" t="n">
        <v>0.2</v>
      </c>
      <c r="C90" s="16" t="n">
        <f aca="false">ROUND(B90*$B$3,0)</f>
        <v>12</v>
      </c>
    </row>
    <row r="91" customFormat="false" ht="15" hidden="false" customHeight="false" outlineLevel="0" collapsed="false">
      <c r="A91" s="16" t="s">
        <v>720</v>
      </c>
      <c r="B91" s="17" t="n">
        <v>0.1</v>
      </c>
      <c r="C91" s="16" t="n">
        <f aca="false">ROUND(B91*$B$3,0)</f>
        <v>6</v>
      </c>
    </row>
    <row r="92" customFormat="false" ht="15" hidden="false" customHeight="false" outlineLevel="0" collapsed="false">
      <c r="A92" s="16" t="s">
        <v>714</v>
      </c>
      <c r="B92" s="17" t="n">
        <v>0.15</v>
      </c>
      <c r="C92" s="16" t="n">
        <f aca="false">ROUND(B92*$B$3,0)</f>
        <v>9</v>
      </c>
    </row>
    <row r="93" customFormat="false" ht="15" hidden="false" customHeight="false" outlineLevel="0" collapsed="false">
      <c r="A93" s="13" t="s">
        <v>1166</v>
      </c>
      <c r="B93" s="20" t="n">
        <f aca="false">SUM(B87:B92)</f>
        <v>1</v>
      </c>
      <c r="C93" s="13" t="str">
        <f aca="false">IF(ROUND(B93,4)=1,"OK","⚠ total ≠ 100 %")</f>
        <v>OK</v>
      </c>
    </row>
    <row r="95" customFormat="false" ht="26.85" hidden="false" customHeight="false" outlineLevel="0" collapsed="false">
      <c r="A95" s="4" t="s">
        <v>28</v>
      </c>
      <c r="B95" s="4" t="s">
        <v>1154</v>
      </c>
      <c r="C95" s="4" t="s">
        <v>1155</v>
      </c>
    </row>
    <row r="96" customFormat="false" ht="15" hidden="false" customHeight="false" outlineLevel="0" collapsed="false">
      <c r="A96" s="16" t="s">
        <v>48</v>
      </c>
      <c r="B96" s="17" t="n">
        <v>0.15</v>
      </c>
      <c r="C96" s="16" t="n">
        <f aca="false">ROUND(B96*$B$3,0)</f>
        <v>9</v>
      </c>
    </row>
    <row r="97" customFormat="false" ht="15" hidden="false" customHeight="false" outlineLevel="0" collapsed="false">
      <c r="A97" s="16" t="s">
        <v>162</v>
      </c>
      <c r="B97" s="17" t="n">
        <v>0.25</v>
      </c>
      <c r="C97" s="16" t="n">
        <f aca="false">ROUND(B97*$B$3,0)</f>
        <v>15</v>
      </c>
    </row>
    <row r="98" customFormat="false" ht="15" hidden="false" customHeight="false" outlineLevel="0" collapsed="false">
      <c r="A98" s="16" t="s">
        <v>150</v>
      </c>
      <c r="B98" s="17" t="n">
        <v>0.35</v>
      </c>
      <c r="C98" s="16" t="n">
        <f aca="false">ROUND(B98*$B$3,0)</f>
        <v>21</v>
      </c>
    </row>
    <row r="99" customFormat="false" ht="15" hidden="false" customHeight="false" outlineLevel="0" collapsed="false">
      <c r="A99" s="16" t="s">
        <v>720</v>
      </c>
      <c r="B99" s="17" t="n">
        <v>0.1</v>
      </c>
      <c r="C99" s="16" t="n">
        <f aca="false">ROUND(B99*$B$3,0)</f>
        <v>6</v>
      </c>
    </row>
    <row r="100" customFormat="false" ht="15" hidden="false" customHeight="false" outlineLevel="0" collapsed="false">
      <c r="A100" s="16" t="s">
        <v>714</v>
      </c>
      <c r="B100" s="17" t="n">
        <v>0.15</v>
      </c>
      <c r="C100" s="16" t="n">
        <f aca="false">ROUND(B100*$B$3,0)</f>
        <v>9</v>
      </c>
    </row>
    <row r="101" customFormat="false" ht="15" hidden="false" customHeight="false" outlineLevel="0" collapsed="false">
      <c r="A101" s="13" t="s">
        <v>1166</v>
      </c>
      <c r="B101" s="20" t="n">
        <f aca="false">SUM(B96:B100)</f>
        <v>1</v>
      </c>
      <c r="C101" s="13" t="str">
        <f aca="false">IF(ROUND(B101,4)=1,"OK","⚠ total ≠ 100 %")</f>
        <v>OK</v>
      </c>
    </row>
    <row r="103" customFormat="false" ht="26.85" hidden="false" customHeight="false" outlineLevel="0" collapsed="false">
      <c r="A103" s="4" t="s">
        <v>29</v>
      </c>
      <c r="B103" s="4" t="s">
        <v>1154</v>
      </c>
      <c r="C103" s="4" t="s">
        <v>1155</v>
      </c>
    </row>
    <row r="104" customFormat="false" ht="15" hidden="false" customHeight="false" outlineLevel="0" collapsed="false">
      <c r="A104" s="16" t="s">
        <v>48</v>
      </c>
      <c r="B104" s="17" t="n">
        <v>0.1</v>
      </c>
      <c r="C104" s="16" t="n">
        <f aca="false">ROUND(B104*$B$3,0)</f>
        <v>6</v>
      </c>
    </row>
    <row r="105" customFormat="false" ht="15" hidden="false" customHeight="false" outlineLevel="0" collapsed="false">
      <c r="A105" s="16" t="s">
        <v>162</v>
      </c>
      <c r="B105" s="17" t="n">
        <v>0.25</v>
      </c>
      <c r="C105" s="16" t="n">
        <f aca="false">ROUND(B105*$B$3,0)</f>
        <v>15</v>
      </c>
    </row>
    <row r="106" customFormat="false" ht="15" hidden="false" customHeight="false" outlineLevel="0" collapsed="false">
      <c r="A106" s="16" t="s">
        <v>240</v>
      </c>
      <c r="B106" s="17" t="n">
        <v>0.2</v>
      </c>
      <c r="C106" s="16" t="n">
        <f aca="false">ROUND(B106*$B$3,0)</f>
        <v>12</v>
      </c>
    </row>
    <row r="107" customFormat="false" ht="15" hidden="false" customHeight="false" outlineLevel="0" collapsed="false">
      <c r="A107" s="16" t="s">
        <v>150</v>
      </c>
      <c r="B107" s="17" t="n">
        <v>0.2</v>
      </c>
      <c r="C107" s="16" t="n">
        <f aca="false">ROUND(B107*$B$3,0)</f>
        <v>12</v>
      </c>
    </row>
    <row r="108" customFormat="false" ht="15" hidden="false" customHeight="false" outlineLevel="0" collapsed="false">
      <c r="A108" s="16" t="s">
        <v>720</v>
      </c>
      <c r="B108" s="17" t="n">
        <v>0.1</v>
      </c>
      <c r="C108" s="16" t="n">
        <f aca="false">ROUND(B108*$B$3,0)</f>
        <v>6</v>
      </c>
    </row>
    <row r="109" customFormat="false" ht="15" hidden="false" customHeight="false" outlineLevel="0" collapsed="false">
      <c r="A109" s="16" t="s">
        <v>714</v>
      </c>
      <c r="B109" s="17" t="n">
        <v>0.15</v>
      </c>
      <c r="C109" s="16" t="n">
        <f aca="false">ROUND(B109*$B$3,0)</f>
        <v>9</v>
      </c>
    </row>
    <row r="110" customFormat="false" ht="15" hidden="false" customHeight="false" outlineLevel="0" collapsed="false">
      <c r="A110" s="13" t="s">
        <v>1166</v>
      </c>
      <c r="B110" s="20" t="n">
        <f aca="false">SUM(B104:B109)</f>
        <v>1</v>
      </c>
      <c r="C110" s="13" t="str">
        <f aca="false">IF(ROUND(B110,4)=1,"OK","⚠ total ≠ 100 %")</f>
        <v>OK</v>
      </c>
    </row>
    <row r="112" customFormat="false" ht="26.85" hidden="false" customHeight="false" outlineLevel="0" collapsed="false">
      <c r="A112" s="4" t="s">
        <v>30</v>
      </c>
      <c r="B112" s="4" t="s">
        <v>1154</v>
      </c>
      <c r="C112" s="4" t="s">
        <v>1155</v>
      </c>
    </row>
    <row r="113" customFormat="false" ht="15" hidden="false" customHeight="false" outlineLevel="0" collapsed="false">
      <c r="A113" s="16" t="s">
        <v>48</v>
      </c>
      <c r="B113" s="17" t="n">
        <v>0.1</v>
      </c>
      <c r="C113" s="16" t="n">
        <f aca="false">ROUND(B113*$B$3,0)</f>
        <v>6</v>
      </c>
    </row>
    <row r="114" customFormat="false" ht="15" hidden="false" customHeight="false" outlineLevel="0" collapsed="false">
      <c r="A114" s="16" t="s">
        <v>162</v>
      </c>
      <c r="B114" s="17" t="n">
        <v>0.25</v>
      </c>
      <c r="C114" s="16" t="n">
        <f aca="false">ROUND(B114*$B$3,0)</f>
        <v>15</v>
      </c>
    </row>
    <row r="115" customFormat="false" ht="15" hidden="false" customHeight="false" outlineLevel="0" collapsed="false">
      <c r="A115" s="16" t="s">
        <v>240</v>
      </c>
      <c r="B115" s="17" t="n">
        <v>0.15</v>
      </c>
      <c r="C115" s="16" t="n">
        <f aca="false">ROUND(B115*$B$3,0)</f>
        <v>9</v>
      </c>
    </row>
    <row r="116" customFormat="false" ht="15" hidden="false" customHeight="false" outlineLevel="0" collapsed="false">
      <c r="A116" s="16" t="s">
        <v>150</v>
      </c>
      <c r="B116" s="17" t="n">
        <v>0.3</v>
      </c>
      <c r="C116" s="16" t="n">
        <f aca="false">ROUND(B116*$B$3,0)</f>
        <v>18</v>
      </c>
    </row>
    <row r="117" customFormat="false" ht="15" hidden="false" customHeight="false" outlineLevel="0" collapsed="false">
      <c r="A117" s="16" t="s">
        <v>720</v>
      </c>
      <c r="B117" s="17" t="n">
        <v>0.1</v>
      </c>
      <c r="C117" s="16" t="n">
        <f aca="false">ROUND(B117*$B$3,0)</f>
        <v>6</v>
      </c>
    </row>
    <row r="118" customFormat="false" ht="15" hidden="false" customHeight="false" outlineLevel="0" collapsed="false">
      <c r="A118" s="16" t="s">
        <v>714</v>
      </c>
      <c r="B118" s="17" t="n">
        <v>0.1</v>
      </c>
      <c r="C118" s="16" t="n">
        <f aca="false">ROUND(B118*$B$3,0)</f>
        <v>6</v>
      </c>
    </row>
    <row r="119" customFormat="false" ht="15" hidden="false" customHeight="false" outlineLevel="0" collapsed="false">
      <c r="A119" s="13" t="s">
        <v>1166</v>
      </c>
      <c r="B119" s="20" t="n">
        <f aca="false">SUM(B113:B118)</f>
        <v>1</v>
      </c>
      <c r="C119" s="13" t="str">
        <f aca="false">IF(ROUND(B119,4)=1,"OK","⚠ total ≠ 100 %")</f>
        <v>OK</v>
      </c>
    </row>
    <row r="121" customFormat="false" ht="26.85" hidden="false" customHeight="false" outlineLevel="0" collapsed="false">
      <c r="A121" s="4" t="s">
        <v>31</v>
      </c>
      <c r="B121" s="4" t="s">
        <v>1154</v>
      </c>
      <c r="C121" s="4" t="s">
        <v>1155</v>
      </c>
    </row>
    <row r="122" customFormat="false" ht="15" hidden="false" customHeight="false" outlineLevel="0" collapsed="false">
      <c r="A122" s="16" t="s">
        <v>48</v>
      </c>
      <c r="B122" s="17" t="n">
        <v>0.05</v>
      </c>
      <c r="C122" s="16" t="n">
        <f aca="false">ROUND(B122*$B$3,0)</f>
        <v>3</v>
      </c>
    </row>
    <row r="123" customFormat="false" ht="15" hidden="false" customHeight="false" outlineLevel="0" collapsed="false">
      <c r="A123" s="16" t="s">
        <v>162</v>
      </c>
      <c r="B123" s="17" t="n">
        <v>0.05</v>
      </c>
      <c r="C123" s="16" t="n">
        <f aca="false">ROUND(B123*$B$3,0)</f>
        <v>3</v>
      </c>
    </row>
    <row r="124" customFormat="false" ht="15" hidden="false" customHeight="false" outlineLevel="0" collapsed="false">
      <c r="A124" s="16" t="s">
        <v>284</v>
      </c>
      <c r="B124" s="17" t="n">
        <v>0.2</v>
      </c>
      <c r="C124" s="16" t="n">
        <f aca="false">ROUND(B124*$B$3,0)</f>
        <v>12</v>
      </c>
    </row>
    <row r="125" customFormat="false" ht="15" hidden="false" customHeight="false" outlineLevel="0" collapsed="false">
      <c r="A125" s="16" t="s">
        <v>240</v>
      </c>
      <c r="B125" s="17" t="n">
        <v>0.3</v>
      </c>
      <c r="C125" s="16" t="n">
        <f aca="false">ROUND(B125*$B$3,0)</f>
        <v>18</v>
      </c>
    </row>
    <row r="126" customFormat="false" ht="15" hidden="false" customHeight="false" outlineLevel="0" collapsed="false">
      <c r="A126" s="16" t="s">
        <v>150</v>
      </c>
      <c r="B126" s="17" t="n">
        <v>0.1</v>
      </c>
      <c r="C126" s="16" t="n">
        <f aca="false">ROUND(B126*$B$3,0)</f>
        <v>6</v>
      </c>
    </row>
    <row r="127" customFormat="false" ht="15" hidden="false" customHeight="false" outlineLevel="0" collapsed="false">
      <c r="A127" s="16" t="s">
        <v>581</v>
      </c>
      <c r="B127" s="17" t="n">
        <v>0.15</v>
      </c>
      <c r="C127" s="16" t="n">
        <f aca="false">ROUND(B127*$B$3,0)</f>
        <v>9</v>
      </c>
    </row>
    <row r="128" customFormat="false" ht="15" hidden="false" customHeight="false" outlineLevel="0" collapsed="false">
      <c r="A128" s="16" t="s">
        <v>720</v>
      </c>
      <c r="B128" s="17" t="n">
        <v>0.05</v>
      </c>
      <c r="C128" s="16" t="n">
        <f aca="false">ROUND(B128*$B$3,0)</f>
        <v>3</v>
      </c>
    </row>
    <row r="129" customFormat="false" ht="15" hidden="false" customHeight="false" outlineLevel="0" collapsed="false">
      <c r="A129" s="16" t="s">
        <v>714</v>
      </c>
      <c r="B129" s="17" t="n">
        <v>0.1</v>
      </c>
      <c r="C129" s="16" t="n">
        <f aca="false">ROUND(B129*$B$3,0)</f>
        <v>6</v>
      </c>
    </row>
    <row r="130" customFormat="false" ht="15" hidden="false" customHeight="false" outlineLevel="0" collapsed="false">
      <c r="A130" s="13" t="s">
        <v>1166</v>
      </c>
      <c r="B130" s="20" t="n">
        <f aca="false">SUM(B122:B129)</f>
        <v>1</v>
      </c>
      <c r="C130" s="13" t="str">
        <f aca="false">IF(ROUND(B130,4)=1,"OK","⚠ total ≠ 100 %")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1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2" t="s">
        <v>1167</v>
      </c>
    </row>
    <row r="3" customFormat="false" ht="15" hidden="false" customHeight="false" outlineLevel="0" collapsed="false">
      <c r="A3" s="4" t="s">
        <v>16</v>
      </c>
      <c r="B3" s="4" t="s">
        <v>1168</v>
      </c>
      <c r="C3" s="4" t="s">
        <v>1169</v>
      </c>
      <c r="D3" s="4" t="s">
        <v>1170</v>
      </c>
      <c r="E3" s="4" t="s">
        <v>1166</v>
      </c>
    </row>
    <row r="4" customFormat="false" ht="15" hidden="false" customHeight="false" outlineLevel="0" collapsed="false">
      <c r="A4" s="16" t="s">
        <v>46</v>
      </c>
      <c r="B4" s="16" t="n">
        <f aca="false">COUNTIFS(Postures!$E$2:$E$1000,$A4,Postures!$F$2:$F$1000,1)</f>
        <v>8</v>
      </c>
      <c r="C4" s="16" t="n">
        <f aca="false">COUNTIFS(Postures!$E$2:$E$1000,$A4,Postures!$F$2:$F$1000,2)</f>
        <v>3</v>
      </c>
      <c r="D4" s="16" t="n">
        <f aca="false">COUNTIFS(Postures!$E$2:$E$1000,$A4,Postures!$F$2:$F$1000,3)</f>
        <v>1</v>
      </c>
      <c r="E4" s="21" t="n">
        <f aca="false">SUM(B4:D4)</f>
        <v>12</v>
      </c>
    </row>
    <row r="5" customFormat="false" ht="15" hidden="false" customHeight="false" outlineLevel="0" collapsed="false">
      <c r="A5" s="16" t="s">
        <v>161</v>
      </c>
      <c r="B5" s="16" t="n">
        <f aca="false">COUNTIFS(Postures!$E$2:$E$1000,$A5,Postures!$F$2:$F$1000,1)</f>
        <v>13</v>
      </c>
      <c r="C5" s="16" t="n">
        <f aca="false">COUNTIFS(Postures!$E$2:$E$1000,$A5,Postures!$F$2:$F$1000,2)</f>
        <v>1</v>
      </c>
      <c r="D5" s="16" t="n">
        <f aca="false">COUNTIFS(Postures!$E$2:$E$1000,$A5,Postures!$F$2:$F$1000,3)</f>
        <v>0</v>
      </c>
      <c r="E5" s="21" t="n">
        <f aca="false">SUM(B5:D5)</f>
        <v>14</v>
      </c>
    </row>
    <row r="6" customFormat="false" ht="15" hidden="false" customHeight="false" outlineLevel="0" collapsed="false">
      <c r="A6" s="16" t="s">
        <v>103</v>
      </c>
      <c r="B6" s="16" t="n">
        <f aca="false">COUNTIFS(Postures!$E$2:$E$1000,$A6,Postures!$F$2:$F$1000,1)</f>
        <v>5</v>
      </c>
      <c r="C6" s="16" t="n">
        <f aca="false">COUNTIFS(Postures!$E$2:$E$1000,$A6,Postures!$F$2:$F$1000,2)</f>
        <v>4</v>
      </c>
      <c r="D6" s="16" t="n">
        <f aca="false">COUNTIFS(Postures!$E$2:$E$1000,$A6,Postures!$F$2:$F$1000,3)</f>
        <v>2</v>
      </c>
      <c r="E6" s="21" t="n">
        <f aca="false">SUM(B6:D6)</f>
        <v>11</v>
      </c>
    </row>
    <row r="7" customFormat="false" ht="15" hidden="false" customHeight="false" outlineLevel="0" collapsed="false">
      <c r="A7" s="16" t="s">
        <v>240</v>
      </c>
      <c r="B7" s="16" t="n">
        <f aca="false">COUNTIFS(Postures!$E$2:$E$1000,$A7,Postures!$F$2:$F$1000,1)</f>
        <v>12</v>
      </c>
      <c r="C7" s="16" t="n">
        <f aca="false">COUNTIFS(Postures!$E$2:$E$1000,$A7,Postures!$F$2:$F$1000,2)</f>
        <v>2</v>
      </c>
      <c r="D7" s="16" t="n">
        <f aca="false">COUNTIFS(Postures!$E$2:$E$1000,$A7,Postures!$F$2:$F$1000,3)</f>
        <v>0</v>
      </c>
      <c r="E7" s="21" t="n">
        <f aca="false">SUM(B7:D7)</f>
        <v>14</v>
      </c>
    </row>
    <row r="8" customFormat="false" ht="15" hidden="false" customHeight="false" outlineLevel="0" collapsed="false">
      <c r="A8" s="16" t="s">
        <v>318</v>
      </c>
      <c r="B8" s="16" t="n">
        <f aca="false">COUNTIFS(Postures!$E$2:$E$1000,$A8,Postures!$F$2:$F$1000,1)</f>
        <v>1</v>
      </c>
      <c r="C8" s="16" t="n">
        <f aca="false">COUNTIFS(Postures!$E$2:$E$1000,$A8,Postures!$F$2:$F$1000,2)</f>
        <v>5</v>
      </c>
      <c r="D8" s="16" t="n">
        <f aca="false">COUNTIFS(Postures!$E$2:$E$1000,$A8,Postures!$F$2:$F$1000,3)</f>
        <v>3</v>
      </c>
      <c r="E8" s="21" t="n">
        <f aca="false">SUM(B8:D8)</f>
        <v>9</v>
      </c>
    </row>
    <row r="9" customFormat="false" ht="15" hidden="false" customHeight="false" outlineLevel="0" collapsed="false">
      <c r="A9" s="16" t="s">
        <v>580</v>
      </c>
      <c r="B9" s="16" t="n">
        <f aca="false">COUNTIFS(Postures!$E$2:$E$1000,$A9,Postures!$F$2:$F$1000,1)</f>
        <v>0</v>
      </c>
      <c r="C9" s="16" t="n">
        <f aca="false">COUNTIFS(Postures!$E$2:$E$1000,$A9,Postures!$F$2:$F$1000,2)</f>
        <v>1</v>
      </c>
      <c r="D9" s="16" t="n">
        <f aca="false">COUNTIFS(Postures!$E$2:$E$1000,$A9,Postures!$F$2:$F$1000,3)</f>
        <v>9</v>
      </c>
      <c r="E9" s="21" t="n">
        <f aca="false">SUM(B9:D9)</f>
        <v>10</v>
      </c>
    </row>
    <row r="10" customFormat="false" ht="15" hidden="false" customHeight="false" outlineLevel="0" collapsed="false">
      <c r="A10" s="16" t="s">
        <v>277</v>
      </c>
      <c r="B10" s="16" t="n">
        <f aca="false">COUNTIFS(Postures!$E$2:$E$1000,$A10,Postures!$F$2:$F$1000,1)</f>
        <v>6</v>
      </c>
      <c r="C10" s="16" t="n">
        <f aca="false">COUNTIFS(Postures!$E$2:$E$1000,$A10,Postures!$F$2:$F$1000,2)</f>
        <v>4</v>
      </c>
      <c r="D10" s="16" t="n">
        <f aca="false">COUNTIFS(Postures!$E$2:$E$1000,$A10,Postures!$F$2:$F$1000,3)</f>
        <v>0</v>
      </c>
      <c r="E10" s="21" t="n">
        <f aca="false">SUM(B10:D10)</f>
        <v>10</v>
      </c>
    </row>
    <row r="11" customFormat="false" ht="15" hidden="false" customHeight="false" outlineLevel="0" collapsed="false">
      <c r="A11" s="16" t="s">
        <v>250</v>
      </c>
      <c r="B11" s="16" t="n">
        <f aca="false">COUNTIFS(Postures!$E$2:$E$1000,$A11,Postures!$F$2:$F$1000,1)</f>
        <v>15</v>
      </c>
      <c r="C11" s="16" t="n">
        <f aca="false">COUNTIFS(Postures!$E$2:$E$1000,$A11,Postures!$F$2:$F$1000,2)</f>
        <v>5</v>
      </c>
      <c r="D11" s="16" t="n">
        <f aca="false">COUNTIFS(Postures!$E$2:$E$1000,$A11,Postures!$F$2:$F$1000,3)</f>
        <v>6</v>
      </c>
      <c r="E11" s="21" t="n">
        <f aca="false">SUM(B11:D11)</f>
        <v>26</v>
      </c>
    </row>
    <row r="12" customFormat="false" ht="15" hidden="false" customHeight="false" outlineLevel="0" collapsed="false">
      <c r="A12" s="16" t="s">
        <v>216</v>
      </c>
      <c r="B12" s="16" t="n">
        <f aca="false">COUNTIFS(Postures!$E$2:$E$1000,$A12,Postures!$F$2:$F$1000,1)</f>
        <v>5</v>
      </c>
      <c r="C12" s="16" t="n">
        <f aca="false">COUNTIFS(Postures!$E$2:$E$1000,$A12,Postures!$F$2:$F$1000,2)</f>
        <v>1</v>
      </c>
      <c r="D12" s="16" t="n">
        <f aca="false">COUNTIFS(Postures!$E$2:$E$1000,$A12,Postures!$F$2:$F$1000,3)</f>
        <v>0</v>
      </c>
      <c r="E12" s="21" t="n">
        <f aca="false">SUM(B12:D12)</f>
        <v>6</v>
      </c>
    </row>
    <row r="13" customFormat="false" ht="15" hidden="false" customHeight="false" outlineLevel="0" collapsed="false">
      <c r="A13" s="16" t="s">
        <v>561</v>
      </c>
      <c r="B13" s="16" t="n">
        <f aca="false">COUNTIFS(Postures!$E$2:$E$1000,$A13,Postures!$F$2:$F$1000,1)</f>
        <v>10</v>
      </c>
      <c r="C13" s="16" t="n">
        <f aca="false">COUNTIFS(Postures!$E$2:$E$1000,$A13,Postures!$F$2:$F$1000,2)</f>
        <v>9</v>
      </c>
      <c r="D13" s="16" t="n">
        <f aca="false">COUNTIFS(Postures!$E$2:$E$1000,$A13,Postures!$F$2:$F$1000,3)</f>
        <v>6</v>
      </c>
      <c r="E13" s="21" t="n">
        <f aca="false">SUM(B13:D13)</f>
        <v>25</v>
      </c>
    </row>
    <row r="14" customFormat="false" ht="15" hidden="false" customHeight="false" outlineLevel="0" collapsed="false">
      <c r="A14" s="16" t="s">
        <v>227</v>
      </c>
      <c r="B14" s="16" t="n">
        <f aca="false">COUNTIFS(Postures!$E$2:$E$1000,$A14,Postures!$F$2:$F$1000,1)</f>
        <v>8</v>
      </c>
      <c r="C14" s="16" t="n">
        <f aca="false">COUNTIFS(Postures!$E$2:$E$1000,$A14,Postures!$F$2:$F$1000,2)</f>
        <v>6</v>
      </c>
      <c r="D14" s="16" t="n">
        <f aca="false">COUNTIFS(Postures!$E$2:$E$1000,$A14,Postures!$F$2:$F$1000,3)</f>
        <v>3</v>
      </c>
      <c r="E14" s="21" t="n">
        <f aca="false">SUM(B14:D14)</f>
        <v>17</v>
      </c>
    </row>
    <row r="15" customFormat="false" ht="15" hidden="false" customHeight="false" outlineLevel="0" collapsed="false">
      <c r="A15" s="16" t="s">
        <v>257</v>
      </c>
      <c r="B15" s="16" t="n">
        <f aca="false">COUNTIFS(Postures!$E$2:$E$1000,$A15,Postures!$F$2:$F$1000,1)</f>
        <v>11</v>
      </c>
      <c r="C15" s="16" t="n">
        <f aca="false">COUNTIFS(Postures!$E$2:$E$1000,$A15,Postures!$F$2:$F$1000,2)</f>
        <v>10</v>
      </c>
      <c r="D15" s="16" t="n">
        <f aca="false">COUNTIFS(Postures!$E$2:$E$1000,$A15,Postures!$F$2:$F$1000,3)</f>
        <v>0</v>
      </c>
      <c r="E15" s="21" t="n">
        <f aca="false">SUM(B15:D15)</f>
        <v>21</v>
      </c>
    </row>
    <row r="16" customFormat="false" ht="15" hidden="false" customHeight="false" outlineLevel="0" collapsed="false">
      <c r="A16" s="16" t="s">
        <v>646</v>
      </c>
      <c r="B16" s="16" t="n">
        <f aca="false">COUNTIFS(Postures!$E$2:$E$1000,$A16,Postures!$F$2:$F$1000,1)</f>
        <v>2</v>
      </c>
      <c r="C16" s="16" t="n">
        <f aca="false">COUNTIFS(Postures!$E$2:$E$1000,$A16,Postures!$F$2:$F$1000,2)</f>
        <v>4</v>
      </c>
      <c r="D16" s="16" t="n">
        <f aca="false">COUNTIFS(Postures!$E$2:$E$1000,$A16,Postures!$F$2:$F$1000,3)</f>
        <v>6</v>
      </c>
      <c r="E16" s="21" t="n">
        <f aca="false">SUM(B16:D16)</f>
        <v>12</v>
      </c>
    </row>
    <row r="17" customFormat="false" ht="15" hidden="false" customHeight="false" outlineLevel="0" collapsed="false">
      <c r="A17" s="16" t="s">
        <v>233</v>
      </c>
      <c r="B17" s="16" t="n">
        <f aca="false">COUNTIFS(Postures!$E$2:$E$1000,$A17,Postures!$F$2:$F$1000,1)</f>
        <v>5</v>
      </c>
      <c r="C17" s="16" t="n">
        <f aca="false">COUNTIFS(Postures!$E$2:$E$1000,$A17,Postures!$F$2:$F$1000,2)</f>
        <v>0</v>
      </c>
      <c r="D17" s="16" t="n">
        <f aca="false">COUNTIFS(Postures!$E$2:$E$1000,$A17,Postures!$F$2:$F$1000,3)</f>
        <v>0</v>
      </c>
      <c r="E17" s="21" t="n">
        <f aca="false">SUM(B17:D17)</f>
        <v>5</v>
      </c>
    </row>
    <row r="18" customFormat="false" ht="15" hidden="false" customHeight="false" outlineLevel="0" collapsed="false">
      <c r="A18" s="16" t="s">
        <v>283</v>
      </c>
      <c r="B18" s="16" t="n">
        <f aca="false">COUNTIFS(Postures!$E$2:$E$1000,$A18,Postures!$F$2:$F$1000,1)</f>
        <v>4</v>
      </c>
      <c r="C18" s="16" t="n">
        <f aca="false">COUNTIFS(Postures!$E$2:$E$1000,$A18,Postures!$F$2:$F$1000,2)</f>
        <v>3</v>
      </c>
      <c r="D18" s="16" t="n">
        <f aca="false">COUNTIFS(Postures!$E$2:$E$1000,$A18,Postures!$F$2:$F$1000,3)</f>
        <v>0</v>
      </c>
      <c r="E18" s="21" t="n">
        <f aca="false">SUM(B18:D18)</f>
        <v>7</v>
      </c>
    </row>
    <row r="19" customFormat="false" ht="15" hidden="false" customHeight="false" outlineLevel="0" collapsed="false">
      <c r="A19" s="16" t="s">
        <v>714</v>
      </c>
      <c r="B19" s="16" t="n">
        <f aca="false">COUNTIFS(Postures!$E$2:$E$1000,$A19,Postures!$F$2:$F$1000,1)</f>
        <v>4</v>
      </c>
      <c r="C19" s="16" t="n">
        <f aca="false">COUNTIFS(Postures!$E$2:$E$1000,$A19,Postures!$F$2:$F$1000,2)</f>
        <v>0</v>
      </c>
      <c r="D19" s="16" t="n">
        <f aca="false">COUNTIFS(Postures!$E$2:$E$1000,$A19,Postures!$F$2:$F$1000,3)</f>
        <v>0</v>
      </c>
      <c r="E19" s="21" t="n">
        <f aca="false">SUM(B19:D19)</f>
        <v>4</v>
      </c>
    </row>
    <row r="20" customFormat="false" ht="15" hidden="false" customHeight="false" outlineLevel="0" collapsed="false">
      <c r="A20" s="13" t="s">
        <v>1166</v>
      </c>
      <c r="B20" s="21" t="n">
        <f aca="false">SUM(B4:B19)</f>
        <v>109</v>
      </c>
      <c r="C20" s="21" t="n">
        <f aca="false">SUM(C4:C19)</f>
        <v>58</v>
      </c>
      <c r="D20" s="21" t="n">
        <f aca="false">SUM(D4:D19)</f>
        <v>36</v>
      </c>
      <c r="E20" s="21" t="n">
        <f aca="false">SUM(E4:E19)</f>
        <v>203</v>
      </c>
    </row>
    <row r="22" customFormat="false" ht="15" hidden="false" customHeight="false" outlineLevel="0" collapsed="false">
      <c r="A22" s="4" t="s">
        <v>1171</v>
      </c>
      <c r="B22" s="4" t="s">
        <v>1168</v>
      </c>
      <c r="C22" s="4" t="s">
        <v>1169</v>
      </c>
      <c r="D22" s="4" t="s">
        <v>1170</v>
      </c>
      <c r="E22" s="4" t="s">
        <v>1166</v>
      </c>
    </row>
    <row r="23" customFormat="false" ht="15" hidden="false" customHeight="false" outlineLevel="0" collapsed="false">
      <c r="A23" s="16" t="s">
        <v>18</v>
      </c>
      <c r="B23" s="16" t="n">
        <f aca="false">COUNTIFS(Postures!$G$2:$G$1000,"x",Postures!$F$2:$F$1000,1)</f>
        <v>67</v>
      </c>
      <c r="C23" s="16" t="n">
        <f aca="false">COUNTIFS(Postures!$G$2:$G$1000,"x",Postures!$F$2:$F$1000,2)</f>
        <v>29</v>
      </c>
      <c r="D23" s="16" t="n">
        <f aca="false">COUNTIFS(Postures!$G$2:$G$1000,"x",Postures!$F$2:$F$1000,3)</f>
        <v>5</v>
      </c>
      <c r="E23" s="21" t="n">
        <f aca="false">SUM(B23:D23)</f>
        <v>101</v>
      </c>
    </row>
    <row r="24" customFormat="false" ht="15" hidden="false" customHeight="false" outlineLevel="0" collapsed="false">
      <c r="A24" s="16" t="s">
        <v>19</v>
      </c>
      <c r="B24" s="16" t="n">
        <f aca="false">COUNTIFS(Postures!$H$2:$H$1000,"x",Postures!$F$2:$F$1000,1)</f>
        <v>49</v>
      </c>
      <c r="C24" s="16" t="n">
        <f aca="false">COUNTIFS(Postures!$H$2:$H$1000,"x",Postures!$F$2:$F$1000,2)</f>
        <v>27</v>
      </c>
      <c r="D24" s="16" t="n">
        <f aca="false">COUNTIFS(Postures!$H$2:$H$1000,"x",Postures!$F$2:$F$1000,3)</f>
        <v>10</v>
      </c>
      <c r="E24" s="21" t="n">
        <f aca="false">SUM(B24:D24)</f>
        <v>86</v>
      </c>
    </row>
    <row r="25" customFormat="false" ht="15" hidden="false" customHeight="false" outlineLevel="0" collapsed="false">
      <c r="A25" s="16" t="s">
        <v>20</v>
      </c>
      <c r="B25" s="16" t="n">
        <f aca="false">COUNTIFS(Postures!$I$2:$I$1000,"x",Postures!$F$2:$F$1000,1)</f>
        <v>28</v>
      </c>
      <c r="C25" s="16" t="n">
        <f aca="false">COUNTIFS(Postures!$I$2:$I$1000,"x",Postures!$F$2:$F$1000,2)</f>
        <v>21</v>
      </c>
      <c r="D25" s="16" t="n">
        <f aca="false">COUNTIFS(Postures!$I$2:$I$1000,"x",Postures!$F$2:$F$1000,3)</f>
        <v>22</v>
      </c>
      <c r="E25" s="21" t="n">
        <f aca="false">SUM(B25:D25)</f>
        <v>71</v>
      </c>
    </row>
    <row r="26" customFormat="false" ht="15" hidden="false" customHeight="false" outlineLevel="0" collapsed="false">
      <c r="A26" s="16" t="s">
        <v>21</v>
      </c>
      <c r="B26" s="16" t="n">
        <f aca="false">COUNTIFS(Postures!$J$2:$J$1000,"x",Postures!$F$2:$F$1000,1)</f>
        <v>43</v>
      </c>
      <c r="C26" s="16" t="n">
        <f aca="false">COUNTIFS(Postures!$J$2:$J$1000,"x",Postures!$F$2:$F$1000,2)</f>
        <v>30</v>
      </c>
      <c r="D26" s="16" t="n">
        <f aca="false">COUNTIFS(Postures!$J$2:$J$1000,"x",Postures!$F$2:$F$1000,3)</f>
        <v>22</v>
      </c>
      <c r="E26" s="21" t="n">
        <f aca="false">SUM(B26:D26)</f>
        <v>95</v>
      </c>
    </row>
    <row r="27" customFormat="false" ht="15" hidden="false" customHeight="false" outlineLevel="0" collapsed="false">
      <c r="A27" s="16" t="s">
        <v>22</v>
      </c>
      <c r="B27" s="16" t="n">
        <f aca="false">COUNTIFS(Postures!$K$2:$K$1000,"x",Postures!$F$2:$F$1000,1)</f>
        <v>29</v>
      </c>
      <c r="C27" s="16" t="n">
        <f aca="false">COUNTIFS(Postures!$K$2:$K$1000,"x",Postures!$F$2:$F$1000,2)</f>
        <v>9</v>
      </c>
      <c r="D27" s="16" t="n">
        <f aca="false">COUNTIFS(Postures!$K$2:$K$1000,"x",Postures!$F$2:$F$1000,3)</f>
        <v>4</v>
      </c>
      <c r="E27" s="21" t="n">
        <f aca="false">SUM(B27:D27)</f>
        <v>42</v>
      </c>
    </row>
    <row r="28" customFormat="false" ht="15" hidden="false" customHeight="false" outlineLevel="0" collapsed="false">
      <c r="A28" s="16" t="s">
        <v>23</v>
      </c>
      <c r="B28" s="16" t="n">
        <f aca="false">COUNTIFS(Postures!$L$2:$L$1000,"x",Postures!$F$2:$F$1000,1)</f>
        <v>23</v>
      </c>
      <c r="C28" s="16" t="n">
        <f aca="false">COUNTIFS(Postures!$L$2:$L$1000,"x",Postures!$F$2:$F$1000,2)</f>
        <v>8</v>
      </c>
      <c r="D28" s="16" t="n">
        <f aca="false">COUNTIFS(Postures!$L$2:$L$1000,"x",Postures!$F$2:$F$1000,3)</f>
        <v>0</v>
      </c>
      <c r="E28" s="21" t="n">
        <f aca="false">SUM(B28:D28)</f>
        <v>31</v>
      </c>
    </row>
    <row r="29" customFormat="false" ht="15" hidden="false" customHeight="false" outlineLevel="0" collapsed="false">
      <c r="A29" s="16" t="s">
        <v>24</v>
      </c>
      <c r="B29" s="16" t="n">
        <f aca="false">COUNTIFS(Postures!$M$2:$M$1000,"x",Postures!$F$2:$F$1000,1)</f>
        <v>12</v>
      </c>
      <c r="C29" s="16" t="n">
        <f aca="false">COUNTIFS(Postures!$M$2:$M$1000,"x",Postures!$F$2:$F$1000,2)</f>
        <v>0</v>
      </c>
      <c r="D29" s="16" t="n">
        <f aca="false">COUNTIFS(Postures!$M$2:$M$1000,"x",Postures!$F$2:$F$1000,3)</f>
        <v>0</v>
      </c>
      <c r="E29" s="21" t="n">
        <f aca="false">SUM(B29:D29)</f>
        <v>12</v>
      </c>
    </row>
    <row r="30" customFormat="false" ht="15" hidden="false" customHeight="false" outlineLevel="0" collapsed="false">
      <c r="A30" s="16" t="s">
        <v>25</v>
      </c>
      <c r="B30" s="16" t="n">
        <f aca="false">COUNTIFS(Postures!$N$2:$N$1000,"x",Postures!$F$2:$F$1000,1)</f>
        <v>11</v>
      </c>
      <c r="C30" s="16" t="n">
        <f aca="false">COUNTIFS(Postures!$N$2:$N$1000,"x",Postures!$F$2:$F$1000,2)</f>
        <v>8</v>
      </c>
      <c r="D30" s="16" t="n">
        <f aca="false">COUNTIFS(Postures!$N$2:$N$1000,"x",Postures!$F$2:$F$1000,3)</f>
        <v>1</v>
      </c>
      <c r="E30" s="21" t="n">
        <f aca="false">SUM(B30:D30)</f>
        <v>20</v>
      </c>
    </row>
    <row r="31" customFormat="false" ht="15" hidden="false" customHeight="false" outlineLevel="0" collapsed="false">
      <c r="A31" s="16" t="s">
        <v>26</v>
      </c>
      <c r="B31" s="16" t="n">
        <f aca="false">COUNTIFS(Postures!$O$2:$O$1000,"x",Postures!$F$2:$F$1000,1)</f>
        <v>32</v>
      </c>
      <c r="C31" s="16" t="n">
        <f aca="false">COUNTIFS(Postures!$O$2:$O$1000,"x",Postures!$F$2:$F$1000,2)</f>
        <v>0</v>
      </c>
      <c r="D31" s="16" t="n">
        <f aca="false">COUNTIFS(Postures!$O$2:$O$1000,"x",Postures!$F$2:$F$1000,3)</f>
        <v>0</v>
      </c>
      <c r="E31" s="21" t="n">
        <f aca="false">SUM(B31:D31)</f>
        <v>32</v>
      </c>
    </row>
    <row r="32" customFormat="false" ht="15" hidden="false" customHeight="false" outlineLevel="0" collapsed="false">
      <c r="A32" s="16" t="s">
        <v>27</v>
      </c>
      <c r="B32" s="16" t="n">
        <f aca="false">COUNTIFS(Postures!$P$2:$P$1000,"x",Postures!$F$2:$F$1000,1)</f>
        <v>42</v>
      </c>
      <c r="C32" s="16" t="n">
        <f aca="false">COUNTIFS(Postures!$P$2:$P$1000,"x",Postures!$F$2:$F$1000,2)</f>
        <v>0</v>
      </c>
      <c r="D32" s="16" t="n">
        <f aca="false">COUNTIFS(Postures!$P$2:$P$1000,"x",Postures!$F$2:$F$1000,3)</f>
        <v>0</v>
      </c>
      <c r="E32" s="21" t="n">
        <f aca="false">SUM(B32:D32)</f>
        <v>42</v>
      </c>
    </row>
    <row r="33" customFormat="false" ht="15" hidden="false" customHeight="false" outlineLevel="0" collapsed="false">
      <c r="A33" s="16" t="s">
        <v>28</v>
      </c>
      <c r="B33" s="16" t="n">
        <f aca="false">COUNTIFS(Postures!$Q$2:$Q$1000,"x",Postures!$F$2:$F$1000,1)</f>
        <v>38</v>
      </c>
      <c r="C33" s="16" t="n">
        <f aca="false">COUNTIFS(Postures!$Q$2:$Q$1000,"x",Postures!$F$2:$F$1000,2)</f>
        <v>0</v>
      </c>
      <c r="D33" s="16" t="n">
        <f aca="false">COUNTIFS(Postures!$Q$2:$Q$1000,"x",Postures!$F$2:$F$1000,3)</f>
        <v>0</v>
      </c>
      <c r="E33" s="21" t="n">
        <f aca="false">SUM(B33:D33)</f>
        <v>38</v>
      </c>
    </row>
    <row r="34" customFormat="false" ht="15" hidden="false" customHeight="false" outlineLevel="0" collapsed="false">
      <c r="A34" s="16" t="s">
        <v>29</v>
      </c>
      <c r="B34" s="16" t="n">
        <f aca="false">COUNTIFS(Postures!$R$2:$R$1000,"x",Postures!$F$2:$F$1000,1)</f>
        <v>40</v>
      </c>
      <c r="C34" s="16" t="n">
        <f aca="false">COUNTIFS(Postures!$R$2:$R$1000,"x",Postures!$F$2:$F$1000,2)</f>
        <v>0</v>
      </c>
      <c r="D34" s="16" t="n">
        <f aca="false">COUNTIFS(Postures!$R$2:$R$1000,"x",Postures!$F$2:$F$1000,3)</f>
        <v>0</v>
      </c>
      <c r="E34" s="21" t="n">
        <f aca="false">SUM(B34:D34)</f>
        <v>40</v>
      </c>
    </row>
    <row r="35" customFormat="false" ht="15" hidden="false" customHeight="false" outlineLevel="0" collapsed="false">
      <c r="A35" s="16" t="s">
        <v>30</v>
      </c>
      <c r="B35" s="16" t="n">
        <f aca="false">COUNTIFS(Postures!$S$2:$S$1000,"x",Postures!$F$2:$F$1000,1)</f>
        <v>60</v>
      </c>
      <c r="C35" s="16" t="n">
        <f aca="false">COUNTIFS(Postures!$S$2:$S$1000,"x",Postures!$F$2:$F$1000,2)</f>
        <v>2</v>
      </c>
      <c r="D35" s="16" t="n">
        <f aca="false">COUNTIFS(Postures!$S$2:$S$1000,"x",Postures!$F$2:$F$1000,3)</f>
        <v>0</v>
      </c>
      <c r="E35" s="21" t="n">
        <f aca="false">SUM(B35:D35)</f>
        <v>62</v>
      </c>
    </row>
    <row r="36" customFormat="false" ht="15" hidden="false" customHeight="false" outlineLevel="0" collapsed="false">
      <c r="A36" s="16" t="s">
        <v>31</v>
      </c>
      <c r="B36" s="16" t="n">
        <f aca="false">COUNTIFS(Postures!$T$2:$T$1000,"x",Postures!$F$2:$F$1000,1)</f>
        <v>27</v>
      </c>
      <c r="C36" s="16" t="n">
        <f aca="false">COUNTIFS(Postures!$T$2:$T$1000,"x",Postures!$F$2:$F$1000,2)</f>
        <v>26</v>
      </c>
      <c r="D36" s="16" t="n">
        <f aca="false">COUNTIFS(Postures!$T$2:$T$1000,"x",Postures!$F$2:$F$1000,3)</f>
        <v>11</v>
      </c>
      <c r="E36" s="21" t="n">
        <f aca="false">SUM(B36:D36)</f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4"/>
  </cols>
  <sheetData>
    <row r="1" customFormat="false" ht="15" hidden="false" customHeight="false" outlineLevel="0" collapsed="false">
      <c r="A1" s="4" t="s">
        <v>1172</v>
      </c>
      <c r="B1" s="4" t="s">
        <v>1173</v>
      </c>
      <c r="C1" s="4" t="s">
        <v>1174</v>
      </c>
      <c r="D1" s="4" t="s">
        <v>35</v>
      </c>
      <c r="E1" s="4" t="s">
        <v>1175</v>
      </c>
      <c r="F1" s="4" t="s">
        <v>1176</v>
      </c>
    </row>
    <row r="2" customFormat="false" ht="15" hidden="false" customHeight="false" outlineLevel="0" collapsed="false">
      <c r="A2" s="22" t="s">
        <v>46</v>
      </c>
      <c r="B2" s="22" t="s">
        <v>48</v>
      </c>
      <c r="C2" s="22" t="n">
        <v>1</v>
      </c>
      <c r="D2" s="22" t="s">
        <v>124</v>
      </c>
      <c r="E2" s="22" t="s">
        <v>117</v>
      </c>
      <c r="F2" s="22" t="s">
        <v>18</v>
      </c>
    </row>
    <row r="3" customFormat="false" ht="15" hidden="false" customHeight="false" outlineLevel="0" collapsed="false">
      <c r="A3" s="22" t="s">
        <v>161</v>
      </c>
      <c r="B3" s="22" t="s">
        <v>162</v>
      </c>
      <c r="C3" s="22" t="n">
        <v>2</v>
      </c>
      <c r="D3" s="22" t="s">
        <v>49</v>
      </c>
      <c r="E3" s="22" t="s">
        <v>235</v>
      </c>
      <c r="F3" s="22" t="s">
        <v>19</v>
      </c>
    </row>
    <row r="4" customFormat="false" ht="15" hidden="false" customHeight="false" outlineLevel="0" collapsed="false">
      <c r="A4" s="22" t="s">
        <v>103</v>
      </c>
      <c r="B4" s="22" t="s">
        <v>284</v>
      </c>
      <c r="C4" s="22" t="n">
        <v>3</v>
      </c>
      <c r="E4" s="22" t="s">
        <v>1177</v>
      </c>
      <c r="F4" s="22" t="s">
        <v>20</v>
      </c>
    </row>
    <row r="5" customFormat="false" ht="15" hidden="false" customHeight="false" outlineLevel="0" collapsed="false">
      <c r="A5" s="22" t="s">
        <v>240</v>
      </c>
      <c r="B5" s="22" t="s">
        <v>240</v>
      </c>
      <c r="E5" s="22" t="s">
        <v>1178</v>
      </c>
      <c r="F5" s="22" t="s">
        <v>21</v>
      </c>
    </row>
    <row r="6" customFormat="false" ht="15" hidden="false" customHeight="false" outlineLevel="0" collapsed="false">
      <c r="A6" s="22" t="s">
        <v>318</v>
      </c>
      <c r="B6" s="22" t="s">
        <v>150</v>
      </c>
      <c r="E6" s="22" t="s">
        <v>1179</v>
      </c>
      <c r="F6" s="22" t="s">
        <v>22</v>
      </c>
    </row>
    <row r="7" customFormat="false" ht="15" hidden="false" customHeight="false" outlineLevel="0" collapsed="false">
      <c r="A7" s="22" t="s">
        <v>580</v>
      </c>
      <c r="B7" s="22" t="s">
        <v>581</v>
      </c>
      <c r="E7" s="22" t="s">
        <v>1180</v>
      </c>
      <c r="F7" s="22" t="s">
        <v>23</v>
      </c>
    </row>
    <row r="8" customFormat="false" ht="15" hidden="false" customHeight="false" outlineLevel="0" collapsed="false">
      <c r="A8" s="22" t="s">
        <v>277</v>
      </c>
      <c r="B8" s="22" t="s">
        <v>720</v>
      </c>
      <c r="E8" s="22" t="s">
        <v>877</v>
      </c>
      <c r="F8" s="22" t="s">
        <v>24</v>
      </c>
    </row>
    <row r="9" customFormat="false" ht="15" hidden="false" customHeight="false" outlineLevel="0" collapsed="false">
      <c r="A9" s="22" t="s">
        <v>250</v>
      </c>
      <c r="B9" s="22" t="s">
        <v>714</v>
      </c>
      <c r="E9" s="22" t="s">
        <v>203</v>
      </c>
      <c r="F9" s="22" t="s">
        <v>25</v>
      </c>
    </row>
    <row r="10" customFormat="false" ht="15" hidden="false" customHeight="false" outlineLevel="0" collapsed="false">
      <c r="A10" s="22" t="s">
        <v>216</v>
      </c>
      <c r="E10" s="22" t="s">
        <v>217</v>
      </c>
      <c r="F10" s="22" t="s">
        <v>26</v>
      </c>
    </row>
    <row r="11" customFormat="false" ht="15" hidden="false" customHeight="false" outlineLevel="0" collapsed="false">
      <c r="A11" s="22" t="s">
        <v>561</v>
      </c>
      <c r="E11" s="22" t="s">
        <v>1181</v>
      </c>
      <c r="F11" s="22" t="s">
        <v>27</v>
      </c>
    </row>
    <row r="12" customFormat="false" ht="15" hidden="false" customHeight="false" outlineLevel="0" collapsed="false">
      <c r="A12" s="22" t="s">
        <v>227</v>
      </c>
      <c r="E12" s="22" t="s">
        <v>1182</v>
      </c>
      <c r="F12" s="22" t="s">
        <v>28</v>
      </c>
    </row>
    <row r="13" customFormat="false" ht="15" hidden="false" customHeight="false" outlineLevel="0" collapsed="false">
      <c r="A13" s="22" t="s">
        <v>257</v>
      </c>
      <c r="E13" s="22" t="s">
        <v>573</v>
      </c>
      <c r="F13" s="22" t="s">
        <v>29</v>
      </c>
    </row>
    <row r="14" customFormat="false" ht="15" hidden="false" customHeight="false" outlineLevel="0" collapsed="false">
      <c r="A14" s="22" t="s">
        <v>646</v>
      </c>
      <c r="E14" s="22" t="s">
        <v>1183</v>
      </c>
      <c r="F14" s="22" t="s">
        <v>30</v>
      </c>
    </row>
    <row r="15" customFormat="false" ht="15" hidden="false" customHeight="false" outlineLevel="0" collapsed="false">
      <c r="A15" s="22" t="s">
        <v>233</v>
      </c>
      <c r="E15" s="22" t="s">
        <v>1184</v>
      </c>
      <c r="F15" s="22" t="s">
        <v>31</v>
      </c>
    </row>
    <row r="16" customFormat="false" ht="15" hidden="false" customHeight="false" outlineLevel="0" collapsed="false">
      <c r="A16" s="22" t="s">
        <v>283</v>
      </c>
      <c r="E16" s="22" t="s">
        <v>318</v>
      </c>
    </row>
    <row r="17" customFormat="false" ht="15" hidden="false" customHeight="false" outlineLevel="0" collapsed="false">
      <c r="A17" s="22" t="s">
        <v>714</v>
      </c>
      <c r="E17" s="22" t="s">
        <v>1119</v>
      </c>
    </row>
    <row r="18" customFormat="false" ht="15" hidden="false" customHeight="false" outlineLevel="0" collapsed="false">
      <c r="E18" s="22" t="s">
        <v>1185</v>
      </c>
    </row>
    <row r="19" customFormat="false" ht="15" hidden="false" customHeight="false" outlineLevel="0" collapsed="false">
      <c r="E19" s="22" t="s">
        <v>157</v>
      </c>
    </row>
    <row r="20" customFormat="false" ht="15" hidden="false" customHeight="false" outlineLevel="0" collapsed="false">
      <c r="E20" s="22" t="s">
        <v>1186</v>
      </c>
    </row>
    <row r="21" customFormat="false" ht="15" hidden="false" customHeight="false" outlineLevel="0" collapsed="false">
      <c r="E21" s="22" t="s">
        <v>46</v>
      </c>
    </row>
    <row r="22" customFormat="false" ht="15" hidden="false" customHeight="false" outlineLevel="0" collapsed="false">
      <c r="E22" s="22" t="s">
        <v>976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2026-10-11T11:49:47Z</dcterms:created>
  <dc:creator>openpyxl</dc:creator>
  <dc:description/>
  <dc:language>en-US</dc:language>
  <cp:lastModifiedBy/>
  <dcterms:modified xsi:type="dcterms:W3CDTF">2026-10-11T11:49:47Z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